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po\VMS\"/>
    </mc:Choice>
  </mc:AlternateContent>
  <xr:revisionPtr revIDLastSave="0" documentId="13_ncr:1_{E48753F6-AF3A-49A7-A8DB-FF981F1B00D3}" xr6:coauthVersionLast="47" xr6:coauthVersionMax="47" xr10:uidLastSave="{00000000-0000-0000-0000-000000000000}"/>
  <bookViews>
    <workbookView xWindow="-110" yWindow="-110" windowWidth="38620" windowHeight="21100" tabRatio="500" activeTab="1" xr2:uid="{00000000-000D-0000-FFFF-FFFF00000000}"/>
  </bookViews>
  <sheets>
    <sheet name="사전 체크리스트" sheetId="1" r:id="rId1"/>
    <sheet name="기능 리스트" sheetId="2" r:id="rId2"/>
  </sheets>
  <definedNames>
    <definedName name="_xlnm.Print_Titles" localSheetId="0">'사전 체크리스트'!$7:$7</definedName>
  </definedNames>
  <calcPr calcId="181029"/>
</workbook>
</file>

<file path=xl/calcChain.xml><?xml version="1.0" encoding="utf-8"?>
<calcChain xmlns="http://schemas.openxmlformats.org/spreadsheetml/2006/main">
  <c r="G59" i="1" l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C6" i="1" s="1"/>
  <c r="G8" i="1"/>
  <c r="D6" i="1"/>
</calcChain>
</file>

<file path=xl/sharedStrings.xml><?xml version="1.0" encoding="utf-8"?>
<sst xmlns="http://schemas.openxmlformats.org/spreadsheetml/2006/main" count="388" uniqueCount="365">
  <si>
    <t>기능 리스트</t>
  </si>
  <si>
    <t>제품명</t>
  </si>
  <si>
    <t>대분류</t>
  </si>
  <si>
    <t>중분류</t>
  </si>
  <si>
    <t>소분류</t>
  </si>
  <si>
    <t>상세내용</t>
  </si>
  <si>
    <t>비고</t>
  </si>
  <si>
    <t>BODA VMS v1.47.3 (동봉 BODA.VMS.Web v1.11.0)</t>
  </si>
  <si>
    <t>검사 운전 (VMS 메인)</t>
  </si>
  <si>
    <t>자동 운전</t>
  </si>
  <si>
    <t>AUTO RUN 연속 검사</t>
  </si>
  <si>
    <t>트리거/주기 입력에 따라 레시피의 검사 스텝을 연속 실행하고 양품/불량을 실시간 판정·집계</t>
  </si>
  <si>
    <t>수동 검사 실행</t>
  </si>
  <si>
    <t>단일 촬영 후 검사 1회 실행, 결과 오버레이·측정값 표시</t>
  </si>
  <si>
    <t>외부 트리거 연동</t>
  </si>
  <si>
    <t>카메라 하드웨어 트리거·IO 입력 신호에 의한 검사 개시</t>
  </si>
  <si>
    <t>IO 보드(ADLink PCI-7432) 실물로 시험</t>
  </si>
  <si>
    <t>판정·집계</t>
  </si>
  <si>
    <t>양불 판정 및 카운트</t>
  </si>
  <si>
    <t>검사 항목별 기준값 비교 판정(OK/NG), 총생산/양품/불량 카운트 및 헤더 표시</t>
  </si>
  <si>
    <t>NG 이력 조회</t>
  </si>
  <si>
    <t>불량 발생 이력·결과 이미지(썸네일) 저장 및 조회, 확대 보기</t>
  </si>
  <si>
    <t>단독 모드 로컬 생산 이력</t>
  </si>
  <si>
    <t>웹 서버 미연동(단독) 구성에서 검사 이력을 로컬 DB에 저장하고 [전체 이력] 창에서 기간·판정별 조회 및 CSV 내보내기</t>
  </si>
  <si>
    <t>웹 미연동 구성</t>
  </si>
  <si>
    <t>생산 관리 연동</t>
  </si>
  <si>
    <t>작업지시(WO) 운전</t>
  </si>
  <si>
    <t>웹에서 등록한 작업지시를 선택해 운전 — 목표 수량 진행률 표시, 완료 처리</t>
  </si>
  <si>
    <t>멀티 Lot 관리</t>
  </si>
  <si>
    <t>Lot 선택·전환, Lot별 검사 이력 구분 기록</t>
  </si>
  <si>
    <t>작업자 로그인</t>
  </si>
  <si>
    <t>사번·PIN 으로 작업자 로그인 — 작업자 등급(Operator / Lead / Supervisor)별 화면 제한, 출근 이력 기록</t>
  </si>
  <si>
    <t>웹 연동 구성</t>
  </si>
  <si>
    <t>검사 결과 웹 업로드</t>
  </si>
  <si>
    <t>검사 결과·NG 이미지·측정값을 동봉 웹 서버 DB에 기록, 연결이 끊기면 보관 후 재전송</t>
  </si>
  <si>
    <t>시퀀스 제어</t>
  </si>
  <si>
    <t>IO 시퀀스 운전</t>
  </si>
  <si>
    <t>IO 보드 입출력 기반 검사 시퀀스(대기→촬영→판정→출력) 편집·실행</t>
  </si>
  <si>
    <t>IO 보드 실물로 시험</t>
  </si>
  <si>
    <t>레시피 편집 (Vision Setup)</t>
  </si>
  <si>
    <t>레시피 관리</t>
  </si>
  <si>
    <t>레시피 생성/저장/복사/이름 변경</t>
  </si>
  <si>
    <t>검사 레시피 CRUD, 레시피·스텝·도구 단위 복제, 레시피 가져오기/내보내기, 웹 원장 연동</t>
  </si>
  <si>
    <t>예제 템플릿 갤러리</t>
  </si>
  <si>
    <t>검사 유형별(정렬·측정·판정 등) 사전 구성 템플릿을 선택해 레시피 생성</t>
  </si>
  <si>
    <t>카메라·영상 취득</t>
  </si>
  <si>
    <t>카메라 연결/촬영/라이브</t>
  </si>
  <si>
    <t>GigE 2D 카메라 검색·연결, 단일 촬영(Grab)·연속 라이브, 노출 등 파라미터 설정</t>
  </si>
  <si>
    <t>2D 카메라 당사 반입</t>
  </si>
  <si>
    <t>이미지 파일 로드</t>
  </si>
  <si>
    <t>저장 이미지 파일을 불러와 카메라 없이 레시피 편집·검사 시험</t>
  </si>
  <si>
    <t>카메라 대체 경로</t>
  </si>
  <si>
    <t>ROI·좌표계</t>
  </si>
  <si>
    <t>ROI 설정(사각형/회전 사각형)</t>
  </si>
  <si>
    <t>도구별 검사 영역 지정, 회전 ROI 지원, 검색 영역(Search Region) 분리 설정</t>
  </si>
  <si>
    <t>좌표 보정(Fixture)</t>
  </si>
  <si>
    <t>패턴 매칭 결과 좌표에 따라 후속 도구 ROI 자동 이동·회전</t>
  </si>
  <si>
    <t>영상 전처리 도구</t>
  </si>
  <si>
    <t>Blur / Morphology / Image Enhance / Grayscale / Threshold / Edge Detection / Histogram</t>
  </si>
  <si>
    <t>7종 전처리 · 변환 도구 — 파라미터 조정 및 결과 미리보기</t>
  </si>
  <si>
    <t>Polar Unwrap (원형 → 띠 펼침)</t>
  </si>
  <si>
    <t>원형으로 배치된 문자·패턴을 중심·반지름 기준으로 직사각형 띠로 펼쳐 후속 OCR·검사에 전달</t>
  </si>
  <si>
    <t>패턴 매칭 도구</t>
  </si>
  <si>
    <t>Feature Match (기하학적 패턴 매칭)</t>
  </si>
  <si>
    <t>에지 기반 패턴 학습·검출: 회전/스케일 대응, 학습 마스크, 다중 인스턴스 검출(개수 설정), 커버리지 판정, 기준 이미지 저장</t>
  </si>
  <si>
    <t>Shape Match (템플릿 매칭)</t>
  </si>
  <si>
    <t>NCC 템플릿 매칭, 다중 인스턴스·회전·스케일 검색</t>
  </si>
  <si>
    <t>측정·판정 도구</t>
  </si>
  <si>
    <t>Blob (입자 분석)</t>
  </si>
  <si>
    <t>이진화 영역 검출 — 면적·둘레·원형도 등 필터·판정, 개수 허용 범위</t>
  </si>
  <si>
    <t>Caliper / Line Fit / Circle Fit (치수 측정)</t>
  </si>
  <si>
    <t>에지 쌍 간 거리, 직선/원 피팅 측정 및 공차 판정</t>
  </si>
  <si>
    <t>Geometry (기하 연산)</t>
  </si>
  <si>
    <t>측정 결과 점·선·원 간 거리/각도/교점 산출 및 판정</t>
  </si>
  <si>
    <t>Result (판정 종합)</t>
  </si>
  <si>
    <t>여러 도구의 판정을 '모두 합격' 또는 '하나라도 합격' 방식으로 묶어 최종 판정</t>
  </si>
  <si>
    <t>Code Reader (DataMatrix · GS1)</t>
  </si>
  <si>
    <t>2D 코드 검출·디코딩(GS1 데이터 해석 포함) 및 판독 문자열 판정</t>
  </si>
  <si>
    <t>OCR (문자 인식)</t>
  </si>
  <si>
    <t>지정 영역 문자 인식(인식 엔진 선택) 및 기대 문자열 비교 판정</t>
  </si>
  <si>
    <t>OCV (문자 검증)</t>
  </si>
  <si>
    <t>기준 문자를 학습해 인쇄·각인 문자의 일치 여부를 검증 — 불일치 시 NG</t>
  </si>
  <si>
    <t>Color Extract / Color Match (색상 검사)</t>
  </si>
  <si>
    <t>지정 색 범위 추출로 컬러 객체 검출, 기준 색과의 유사도 비교 판정</t>
  </si>
  <si>
    <t>컬러 이미지 입력 필요</t>
  </si>
  <si>
    <t>Photometric Stereo (표면 결함 검사)</t>
  </si>
  <si>
    <t>조명 방향 4개로 찍은 이미지에서 표면 기울기·곡률을 계산해 긁힘·찍힘 등 표면 결함 판정</t>
  </si>
  <si>
    <t>조명 4방향 이미지 세트 입력</t>
  </si>
  <si>
    <t>딥러닝 도구</t>
  </si>
  <si>
    <t>Detection (객체 검출)</t>
  </si>
  <si>
    <t>학습된 ONNX 모델 로컬 추론 — 객체별 박스·클래스·신뢰도, 신뢰도 임계 설정</t>
  </si>
  <si>
    <t>추론만(제품 내 학습 없음)</t>
  </si>
  <si>
    <t>RF-DETR-seg (인스턴스 분할)</t>
  </si>
  <si>
    <t>ONNX 모델 추론 — 객체별 마스크·박스·클래스·신뢰도</t>
  </si>
  <si>
    <t>추론만</t>
  </si>
  <si>
    <t>Segmentation (시맨틱 분할)</t>
  </si>
  <si>
    <t>ONNX 모델 추론 — 화소별 클래스 분할, 클래스별 화소 수·비율 판정</t>
  </si>
  <si>
    <t>Classify (분류)</t>
  </si>
  <si>
    <t>ONNX 분류 모델 추론 — 클래스·신뢰도 판정</t>
  </si>
  <si>
    <t>Anomaly (이상 탐지)</t>
  </si>
  <si>
    <t>ONNX 이상탐지 모델 추론 — 이상 점수·히트맵 판정, 정상 이미지로 임계값 자동 산출</t>
  </si>
  <si>
    <t>Ensemble (앙상블 판정)</t>
  </si>
  <si>
    <t>여러 딥러닝 도구 결과를 AND · OR · 가중합 · 합의 방식으로 종합 판정</t>
  </si>
  <si>
    <t>정렬(얼라인)</t>
  </si>
  <si>
    <t>Match Align (1점/2점 정렬)</t>
  </si>
  <si>
    <t>패턴 매칭 기준 위치 대비 ΔX/ΔY/Δθ 산출, 허용 범위 판정, mm 환산</t>
  </si>
  <si>
    <t>Multi-Step Align (2-스텝 정렬)</t>
  </si>
  <si>
    <t>두 촬영 위치의 매칭 결과를 합성해 정밀 정렬량 산출</t>
  </si>
  <si>
    <t>3D 측정 도구</t>
  </si>
  <si>
    <t>3D 점군 측정(높이·평면·직선·기하)</t>
  </si>
  <si>
    <t>높이 맵·높이 구간 추출(Height Slicer), 평면 피팅(Plane Fit), 직선 피팅(Line Fit), 점·직선·평면 간 거리/각도(3D Geometry) 측정 및 판정(기준값·공차)</t>
  </si>
  <si>
    <t>저장 점군(.vpc) 대체 시험 확정 — 3D 실촬영은 범위 제외</t>
  </si>
  <si>
    <t>3D 정렬·편차·객체 검출</t>
  </si>
  <si>
    <t>점군 필터·자르기(Filter · Mask Crop), 기준 형상 정합(Registration 6DOF), 기준 점군 대비 편차(Deviation), 클러스터 개수·치수 산출(Cluster)</t>
  </si>
  <si>
    <t>저장 점군(.vpc) 대체 시험 확정</t>
  </si>
  <si>
    <t>검증 도구</t>
  </si>
  <si>
    <t>배치 테스트·CSV 리포트</t>
  </si>
  <si>
    <t>이미지 폴더 일괄 검사 및 결과 CSV 출력, 판정 기준값 편집기</t>
  </si>
  <si>
    <t>캘리브레이션</t>
  </si>
  <si>
    <t>카메라 캘리브레이션 (mm 환산)</t>
  </si>
  <si>
    <t>체커보드·원형(도트) 타겟 촬영으로 픽셀↔mm 해상도(Resolution) 산출 및 스텝 적용, 다장 촬영 시 렌즈 왜곡 보정 — 치수 측정의 mm 판정 기준</t>
  </si>
  <si>
    <t>타겟 보드 당사 준비</t>
  </si>
  <si>
    <t>Image Rectify (왜곡 보정)</t>
  </si>
  <si>
    <t>캘리브레이션 결과로 렌즈 왜곡을 보정한 이미지를 후속 측정 도구에 전달</t>
  </si>
  <si>
    <t>시스템 구성 (App Setup)</t>
  </si>
  <si>
    <t>장치 구성</t>
  </si>
  <si>
    <t>카메라 등록·시스템 구성 마법사</t>
  </si>
  <si>
    <t>카메라 등록, 저장 경로·운전 옵션 · 웹 서버 연동(또는 단독 모드) 등 시스템 설정 마법사</t>
  </si>
  <si>
    <t>보안</t>
  </si>
  <si>
    <t>사용자 계정·보안 모드</t>
  </si>
  <si>
    <t>로컬 사용자(Operator / Engineer / Admin 3등급) 관리, 비밀번호 정책</t>
  </si>
  <si>
    <t>생산 관리 웹 (동봉 BODA.VMS.Web)</t>
  </si>
  <si>
    <t>대시보드</t>
  </si>
  <si>
    <t>공장 전체 현황</t>
  </si>
  <si>
    <t>금일 양품률·가동률·불량률, 최근 7일 추세, 라인 상태, 최근 알람·예정 보전 — 새로 고침 없이 갱신</t>
  </si>
  <si>
    <t>Chrome 1종 (웹 전체)</t>
  </si>
  <si>
    <t>현장 모니터링</t>
  </si>
  <si>
    <t>안돈 보드</t>
  </si>
  <si>
    <t>벽걸이 모니터용 전체 화면 현황판 — 라인별 상태·작업지시 진척·Total/Pass/NG, 활성 알람, 예측 사전 경보</t>
  </si>
  <si>
    <t>알람</t>
  </si>
  <si>
    <t>NG 발생·라인 오프라인 알람 자동 생성, 심각도·유형별 조회, 확인·해제 처리</t>
  </si>
  <si>
    <t>생산 이력</t>
  </si>
  <si>
    <t>라인·작업지시·LOT·기간·결과별 검사 이력 조회, NG 사진·도구별 측정값 상세, Excel 내보내기</t>
  </si>
  <si>
    <t>생산 관리</t>
  </si>
  <si>
    <t>작업 지시</t>
  </si>
  <si>
    <t>작업지시 등록(자동 채번)·시작·완료·종료, 계획/생산 수량·진척률, 혼합 레시피 지시, LOT 관리</t>
  </si>
  <si>
    <t>제품 · 작업자</t>
  </si>
  <si>
    <t>제품 마스터(기본 레시피), 작업자 마스터(사번·등급·PIN)·출근 이력·키오스크 링크</t>
  </si>
  <si>
    <t>품질 관리</t>
  </si>
  <si>
    <t>레시피 파라미터 (검사 기준값)</t>
  </si>
  <si>
    <t>레시피별 검사 기준값 등록·수정 — 데스크톱 도구 파라미터와 연동(라인 PC 가 1분 안에 반영), 레시피 복사·이름 변경</t>
  </si>
  <si>
    <t>파레토 분석 · SPC 관리도</t>
  </si>
  <si>
    <t>NG 코드별 빈도·누적 비중(80% 기준선), 측정값 X̄-R 관리도·관리 한계·Cp/Cpk</t>
  </si>
  <si>
    <t>불량 코드</t>
  </si>
  <si>
    <t>불량 코드·분류·심각도 등록, 미등록 NG 코드 자동 제시</t>
  </si>
  <si>
    <t>교대 리포트 · PDF 리포트</t>
  </si>
  <si>
    <t>교대별·일자별 집계, 일간·주간·월간 품질 보고서 A4 PDF 생성</t>
  </si>
  <si>
    <t>설비 관리</t>
  </si>
  <si>
    <t>비전 클라이언트 (라인)</t>
  </si>
  <si>
    <t>라인 PC 자동 등록·온라인 상태, 라인별 레시피 → 스텝 → 도구 구성 조회</t>
  </si>
  <si>
    <t>OEE · 설비 신뢰성</t>
  </si>
  <si>
    <t>설비종합효율(가용성 × 성능 × 품질), MTBF / MTTR · 가용성 산출</t>
  </si>
  <si>
    <t>예방 보전</t>
  </si>
  <si>
    <t>보전 일정 등록·임박 알림·수행 기록</t>
  </si>
  <si>
    <t>불량률 예측</t>
  </si>
  <si>
    <t>최근 검사 흐름으로 다음 1시간 불량률 추정, 안돈 보드·VMS 헤더에 사전 경보</t>
  </si>
  <si>
    <t>예측 모델 등록 시 표시</t>
  </si>
  <si>
    <t>시스템 관리 (Admin)</t>
  </si>
  <si>
    <t>사용자 승인 · 권한</t>
  </si>
  <si>
    <t>가입 신청 승인(역할 Guest / User / Admin 지정)·거부, 역할 변경, 비밀번호 초기화</t>
  </si>
  <si>
    <t>감사 로그</t>
  </si>
  <si>
    <t>기준 정보 생성·수정·삭제와 로그인·로그아웃·잠금 이력 기록 조회(수정·삭제 불가, 비밀번호 마스킹)</t>
  </si>
  <si>
    <t>교대 마스터 · 시스템 설정 · SW 라이선스</t>
  </si>
  <si>
    <t>교대 시간대 정의, 시스템 정보·연동 설정, 라이선스·좌석 점유 현황</t>
  </si>
  <si>
    <t>공통</t>
  </si>
  <si>
    <t>계정·권한</t>
  </si>
  <si>
    <t>로그인·권한 제한</t>
  </si>
  <si>
    <t>ID/PW 로그인(웹은 연속 실패 시 잠금), 등급·역할별 메뉴·기능 제한, 비밀번호 변경 (데스크톱·웹)</t>
  </si>
  <si>
    <t>라이선스</t>
  </si>
  <si>
    <t>라이선스 인증</t>
  </si>
  <si>
    <t>PC 바인딩 라이선스 확인·좌석 관리</t>
  </si>
  <si>
    <t>시험 PC 정보 사전 협의 필요</t>
  </si>
  <si>
    <t>유지 관리</t>
  </si>
  <si>
    <t>인앱 업데이트</t>
  </si>
  <si>
    <t>새 버전 확인·다운로드·설치(무결성 검증) — 웹 서비스 자동 복원</t>
  </si>
  <si>
    <t>시험 범위 포함 — v1.47.2 설치 → v1.47.3 업데이트 시연</t>
  </si>
  <si>
    <t>GS인증 시험 사전 체크리스트</t>
  </si>
  <si>
    <t>▸ 견적 발행을 위해 시험환경·제품 특성을 미리 확인하기 위한 양식입니다. 노란셀만 작성해주세요.</t>
  </si>
  <si>
    <t>▸ [응답 선택]은 드롭다운(▼)에서 선택하고, 응답에 '세부기재'가 포함되면 [작성 가이드]를 참고하여 [세부 내용(서술)]에 구체적으로 기재합니다.</t>
  </si>
  <si>
    <t>▸ 자유 기재 항목(응답란 '—' 회색)은 [세부 내용(서술)]에 직접 입력합니다. [작성 상태]가 모두 '완료'가 되면 작성이 끝난 것입니다. (자동 표시)</t>
  </si>
  <si>
    <t>▸ 작성 예시) 'AI 구현 방식' → 응답: 외부 API 활용(세부기재) → 세부 내용: OpenAI GPT-4o API 사용, 문서 요약·분류 기능에 활용</t>
  </si>
  <si>
    <t>작성 진행 현황:</t>
  </si>
  <si>
    <t>번호</t>
  </si>
  <si>
    <t>구분</t>
  </si>
  <si>
    <t>확인 항목</t>
  </si>
  <si>
    <t>응답 선택 ▼</t>
  </si>
  <si>
    <t>작성 가이드</t>
  </si>
  <si>
    <t>세부 내용(서술)</t>
  </si>
  <si>
    <t>작성 상태</t>
  </si>
  <si>
    <t>기본 정보</t>
  </si>
  <si>
    <t>제품 개요 (한두 문장)</t>
  </si>
  <si>
    <t>예) AI 기반 문서 자동분류 및 검색을 제공하는 웹 솔루션</t>
  </si>
  <si>
    <t>산업용 카메라로 부품을 촬영해 패턴 매칭·치수 측정·딥러닝 판정으로 양품/불량을 검사하는 머신 비전 검사 솔루션 (PC 설치형 데스크톱 + 동봉 웹 이력 관리)</t>
  </si>
  <si>
    <t>신규인증/재인증</t>
  </si>
  <si>
    <t>신규인증</t>
  </si>
  <si>
    <t>재인증인 경우 추가 변경·추가 기능을 세부 내용에 기재
예) v4.0→v4.3 변경, 기존 사용자 업그레이드 가능 여부
&lt;참고&gt;
1. 2020년 7월 이후 인증 받은 제품에 대해서만 재인증 신청 가능
2. 제품의 핵심 기능이 추가된 경우 재인증 신청 불가
3. 최초 인증 제품과 재인증 희망 제품의 제품명 및 버전이 동일한 경우에는 재인증 신청 불가
4. 재인증은 최초 인증 받은 인증기관을 통해서만 가능</t>
  </si>
  <si>
    <t>기업 형태</t>
  </si>
  <si>
    <t>중소기업</t>
  </si>
  <si>
    <t>해당 형태 선택</t>
  </si>
  <si>
    <t>회원사</t>
  </si>
  <si>
    <t>해당없음</t>
  </si>
  <si>
    <t>회원 구분 선택</t>
  </si>
  <si>
    <t>시험목적</t>
  </si>
  <si>
    <t>품질 검증</t>
  </si>
  <si>
    <t>시험 목적 선택</t>
  </si>
  <si>
    <t>희망 시험 시작 시기</t>
  </si>
  <si>
    <t>1개월 이내</t>
  </si>
  <si>
    <t>구체 희망 시기·일정 제약은 세부 내용에 기재 
예) 2026년 9월 초 희망</t>
  </si>
  <si>
    <t>시험 착수 일정에 맞춰 바로 시작 가능 — 시험 대상 버전 v1.47.3 확정, 시험자료 동결 완료(2026-10-29)</t>
  </si>
  <si>
    <t>보안관련 인증서 획득 여부</t>
  </si>
  <si>
    <t>해당될 경우, 세부 정보 작성
- 인증번호: OOOOOOOOO
- (인증서류에 기재된)제품명:OOOOOOOO</t>
  </si>
  <si>
    <t>제품 유형·구조</t>
  </si>
  <si>
    <t>제품 형태</t>
  </si>
  <si>
    <t>복합(2개 이상·세부기재)</t>
  </si>
  <si>
    <t>가장 대표적인 형태 1개 선택. 복합이면 세부 내용에 구성 기재
예) 웹+모바일 앱</t>
  </si>
  <si>
    <t>PC 설치형(WPF 데스크톱 3개 앱: 검사 운전/레시피 편집/시스템 구성) + 웹 애플리케이션(동봉 로컬 웹 서버 — 생산 이력·작업지시·검사 기준값 관리). 단일 MSI로 함께 설치</t>
  </si>
  <si>
    <t>기능 목록</t>
  </si>
  <si>
    <t>작성완료</t>
  </si>
  <si>
    <t>두 번째 탭의 기능 리스트를 상세하게 작성해주세요.</t>
  </si>
  <si>
    <t>기능 리스트 탭 65행 작성 — VMS 데스크톱 + 동봉 생산 관리 웹. 3D · IO 등 하드웨어 의존 기능은 비고에 시험 방법 표기</t>
  </si>
  <si>
    <t>모바일 앱 플랫폼</t>
  </si>
  <si>
    <t>모바일 앱이 없으면 '해당없음' 선택</t>
  </si>
  <si>
    <t>웹브라우저 사용 여부 및 종류</t>
  </si>
  <si>
    <t>1종</t>
  </si>
  <si>
    <t>세부 내용에 브라우저명 기재
예) Google Chrome, MS Edge ※ 2종 이상 시 기간·수수료 증가</t>
  </si>
  <si>
    <t>Google Chrome (동봉 웹 화면용)</t>
  </si>
  <si>
    <t>배포·설치 형태</t>
  </si>
  <si>
    <t>패키지 설치형</t>
  </si>
  <si>
    <t>고객에게 제공되는 방식 기준으로 선택</t>
  </si>
  <si>
    <t>MSI 설치 마법사 (오프라인 단일 패키지 약 400MB, 웹 서버·런타임 동봉)</t>
  </si>
  <si>
    <t>제품 모듈 구성 (모듈명·설치 위치·역할)</t>
  </si>
  <si>
    <t>모듈별로 무엇이 어디에 설치되어 어떤 역할인지 기재
예) 서버모듈(WAS서버)-문서분석 / 에이전트(사용자PC)-수집 
※ 엔진이 서버모듈에 포함인지 별도 구성인지 명확히</t>
  </si>
  <si>
    <t>단일 PC 구성 — ① VMS 메인(검사 운전·판정·이력, 사용자 PC) ② Vision Setup(검사 레시피 편집·카메라 설정, 동일 PC) ③ App Setup(시스템 구성 마법사, 동일 PC) ④ BODA VMS Web(동봉 웹 서버, 동일 PC에 Windows 서비스로 설치 — 생산 이력·작업지시·검사 기준값) ⑤ 비전 엔진(네이티브 DLL — 메인 앱에 포함). 전 모듈 동일 PC 설치, 외부 서버 없음</t>
  </si>
  <si>
    <t>시험 환경 구성도 제공 가능 여부</t>
  </si>
  <si>
    <t>제공 가능</t>
  </si>
  <si>
    <t>서버·클라이언트·장비 연결 관계와 통신 방식이 표시된 
구성도 이미지</t>
  </si>
  <si>
    <t>구성 필요 서버 개수 및 OS</t>
  </si>
  <si>
    <t>해당없음(서버 없음)</t>
  </si>
  <si>
    <t>버전 및 필요 개수는 세부 내용에 기재. 예) Rocky Linux 9.4 등 3개 서버 필요
※ EOL OS(CentOS 7, Windows 10 등) 사용 불가
※ 서버가 필요없는 단독설치형 제품의 경우, '해당사항 없음' 선택</t>
  </si>
  <si>
    <t>단독 설치형 — 동봉 웹 서버는 동일 PC에서 Windows 서비스로 구동 (별도 서버 불필요)</t>
  </si>
  <si>
    <t>구성 필요 클라이언트 개수 및 OS</t>
  </si>
  <si>
    <t>Windows 11</t>
  </si>
  <si>
    <t>클라이언트 프로그램·브라우저가 실행되는 OS 기준
필요 개수·버전·기타 사항은 세부 내용에 기재
※ EOL OS(Windows 10 등) 사용 불가
※ 서버가 필요없는 단독설치형 제품의 경우, 클라이언트만 기재</t>
  </si>
  <si>
    <t>Windows 11 x64 PC 1대 — 당사 지참(확정). IO 보드(ADLink PCI-7432) 장착용 PCI 슬롯, 카메라 연결용 GigE(RJ45) 포트 필요. AVX2 지원 CPU 필수, 딥러닝 기능 시험 시 GPU 권장. 인앱 업데이트 시험용 무선랜 동글 지참</t>
  </si>
  <si>
    <t>서버 구성 방식 (컨테이너·가상화)</t>
  </si>
  <si>
    <t>Docker·K8s 사용 시 배포 방식(이미지·컴포즈 파일 등)
설치 위치를 세부 기재
VM 사용 시 하이퍼바이저 종류 기재</t>
  </si>
  <si>
    <t>설치 소프트웨어 명칭·버전 (WAS·JDK·DBMS 등)</t>
  </si>
  <si>
    <t>시험대상 제품 구동과 연관된 모든 SW 
예) Tomcat 10.1, JDK 17, MySQL 8.4, Node 22 
※ EOL·보안취약점 버전 불가, 지원 중인 버전으로 기재</t>
  </si>
  <si>
    <t>.NET 8 런타임·Visual C++ 런타임은 MSI에 동봉(self-contained — 별도 설치 불필요, 폐쇄망 설치 가능). 동봉 웹 서버도 self-contained. DB는 내장 SQLite. 당사 반입 2D 카메라 사용 시 제조사 런타임(Basler pylon 또는 Hikrobot MVS) 설치(당사 수행), IO 보드 시험 시 ADLink DASK x64 드라이버(당사 수행)</t>
  </si>
  <si>
    <t>DB 사용 여부 및 종류</t>
  </si>
  <si>
    <t>기타·복수(세부기재)</t>
  </si>
  <si>
    <t>버전을 세부 내용에 기재
예) PostgreSQL 15
※ 로그인 정보 저장 시 암호화 저장·전송 등 보안 요건 적용 필요</t>
  </si>
  <si>
    <t>SQLite (파일 DB, 제품 내장 — 별도 DBMS 설치 불필요). 로그인 비밀번호는 해시 저장</t>
  </si>
  <si>
    <t>웹 외 별도 설치 프로그램 여부</t>
  </si>
  <si>
    <t>있음(세부기재)</t>
  </si>
  <si>
    <t>예) 에이전트, 데몬(중계) 프로그램, exe 설치형 
설치·삭제 테스트용 설치파일(설치 마법사) 제공 필요</t>
  </si>
  <si>
    <t>제품 자체가 MSI 설치형 데스크톱 — 설치 마법사 제공, 설치·삭제 테스트 가능</t>
  </si>
  <si>
    <t>제품 업데이트 기능 포함 여부</t>
  </si>
  <si>
    <t>SW·펌웨어 업데이트 기능이 인증범위에 포함되면 
업데이트 서버와 무결성 확인 환경(방법) 제공 필요</t>
  </si>
  <si>
    <t>인앱 업데이트 기능 보유 — 시험 범위 포함. 공개 배포 저장소(GitHub Releases)에서 새 버전 확인 · 다운로드 · SHA-256 무결성 검증 · 설치 · 재시작. 시험 방법: 직전 공개 버전 v1.47.2 설치 → [업데이트 확인]으로 시험 대상 v1.47.3 까지 진행. 시험 기간 중 공개 배포 중지</t>
  </si>
  <si>
    <t>현장시험 필요 여부</t>
  </si>
  <si>
    <t>해당사항 없음</t>
  </si>
  <si>
    <t>필요시, 사유와 현장시험 장소 기재 필요
예) (사유) 장비 크기로 인해 TTA 내부 구축 불가능, (현장시험 장소) 경기도 성남시 대왕대로 123, 5층</t>
  </si>
  <si>
    <t>카메라·조명·샘플 부품은 당사가 시험실 반입 예정 — 반입 시험 가능 여부 확인 중이며, 불가 시 현장시험 협의</t>
  </si>
  <si>
    <t>로그인·계정</t>
  </si>
  <si>
    <t>로그인 기능 여부</t>
  </si>
  <si>
    <t>있음</t>
  </si>
  <si>
    <t>로그인 없이 사용하는 제품이면 '없음'</t>
  </si>
  <si>
    <t>로그인 인증 방식</t>
  </si>
  <si>
    <t>ID/PW만</t>
  </si>
  <si>
    <t>예) 일반적인 패스워드 인증 방식 외에 
인증서 로그인, 생체인증 등은 '기타' 선택 후 세부 기재</t>
  </si>
  <si>
    <t>외부 로그인 서비스 연동 여부</t>
  </si>
  <si>
    <t>소셜/외부 로그인 연동 대상 기재. 
예) 카카오, 네이버, Google, 사내 SSO, 
시험용 계정 사용 가능 여부 포함</t>
  </si>
  <si>
    <t>관리자·사용자 화면(프로그램) 구분</t>
  </si>
  <si>
    <t>동일 프로그램 내 권한 구분</t>
  </si>
  <si>
    <t>관리자/사용자가 구분되면 시험 시 PC도 별도 구성 
각 화면·프로그램이 동일한지 별도인지 기재</t>
  </si>
  <si>
    <t>데스크톱: 사용자 등급(Operator / Engineer / Admin 3단계)별 메뉴 제한. 웹: 역할(Guest / User / Admin)별 화면·기능 제한 — 동일 화면 내 권한 구분. ※ 웹의 '작업자 로그인'은 별개 축으로 작업자 등급(Operator / Lead / Supervisor)을 사용</t>
  </si>
  <si>
    <t>시험용 계정 제공 가능 여부</t>
  </si>
  <si>
    <t>관리자/사용자 등 유형별 계정 각 1개 이상 제공 권장
외부 서비스 연동 시 연동된 계정도 포함</t>
  </si>
  <si>
    <t>데스크톱 Operator · Engineer · Admin, 웹 Guest · User · Admin 계정 각 1개 이상 제공</t>
  </si>
  <si>
    <t>AI 기능</t>
  </si>
  <si>
    <t>AI 기능 포함 여부</t>
  </si>
  <si>
    <t>포함</t>
  </si>
  <si>
    <t>머신러닝/딥러닝/LLM 등 AI 기술이 제품 기능에 사용되면 '포함'
※ '미포함' 선택 시 아래 4개 AI 항목은 자동 생략 처리됩니다</t>
  </si>
  <si>
    <t>AI 구현 방식</t>
  </si>
  <si>
    <t>오픈소스 모델 활용(세부기재)</t>
  </si>
  <si>
    <t>모델명(서비스명) 버전, 역할 기재 필요
예) GPT-4o(답변 생성)+Gemini(요약), 임베딩 모델·벡터DB(Qdrant 등) 
사용 시 구조 포함 / 설치형: Llama, Qwen</t>
  </si>
  <si>
    <t>학습 완료된 ONNX 모델의 로컬 추론만 수행 — 객체 검출(D-FINE), 인스턴스 분할(RF-DETR-seg), 시맨틱 분할(DeepLabV3), 분류(ResNet), 이상 탐지(PatchCore), 문자 인식(PP-OCRv4), 앙상블 판정. 모두 Apache-2.0 / BSD-3-Clause 공개 모델 기반이며 외부 API 미사용. 학습 · 재학습 기능은 v1.44.0 에서 제품에서 제거 — 학습은 별도 플랫폼(BODA.VMS.MLOps, 인증 범위 밖)에서 수행</t>
  </si>
  <si>
    <t>AI 기능 유형</t>
  </si>
  <si>
    <t>영상·이미지 분석</t>
  </si>
  <si>
    <t>여러 유형이면 대표 1개 선택 후 세부 내용에 나머지 기재</t>
  </si>
  <si>
    <t>학습데이터 유형 및 준비 현황</t>
  </si>
  <si>
    <t>제공 가능(세부기재)</t>
  </si>
  <si>
    <t>데이터 유형(이미지·텍스트·시계열 등)·형식(확장자)·수량·정답셋(라벨) 
포함 여부 기재
예) 라벨링 이미지 1,000장 / 문서 포맷별 샘플+예상 질의·정답 셋</t>
  </si>
  <si>
    <t>추론용 학습 완료 모델(.onnx) 5개 + 결함 허용성 확인용 파일 3개, 도구별 검사 이미지 · 기대 결과표 제공. 모델별 출처 · 라이선스 명세 첨부(당사 부품 이미지로 미세조정, 개인정보 없음). 제품 내 학습 기능이 없어 학습데이터 자체는 제품 동작과 무관 — 통계적 정확도 평가용 정답셋이 필요하면 기준 협의 희망</t>
  </si>
  <si>
    <t>시험 중 재학습(학습 기능) 포함 여부</t>
  </si>
  <si>
    <t>미포함</t>
  </si>
  <si>
    <t>제품 내 모델 학습/재학습 기능이 인증범위에 포함되는지</t>
  </si>
  <si>
    <t>외부 서비스·연동</t>
  </si>
  <si>
    <t>지도·위치 서비스 사용 여부</t>
  </si>
  <si>
    <t>API 키(시험용) 제공 가능 여부를 세부 내용에 기재 권장</t>
  </si>
  <si>
    <t>기타 외부 서비스·API 연동 여부</t>
  </si>
  <si>
    <t>예) 결제(PG), 문자/알림톡, 메일, 공공데이터 API, 전자결재 연동 등
대상과 시험 시 사용 가능 여부 기재</t>
  </si>
  <si>
    <t>시뮬레이터 필요 여부 및 역할</t>
  </si>
  <si>
    <t>센서·거래 등 데이터 발생용(세부기재)</t>
  </si>
  <si>
    <t>실환경 대체용 시뮬레이터가 필요한 경우 — 역할·형태(SW/장비)·준비 주체(기업/시험기관)를 세부 기재
예) 센서 데이터 발생기(기업 제공), 결제 API Mock 서버, 부하 발생 도구</t>
  </si>
  <si>
    <t>① 3D 카메라 대체: 저장된 3D 점군 파일(.vpc) 로드 기능(제품 내장, 당사 데이터 준비) ② 2D 카메라 대체: 이미지 파일 로드 기능(제품 내장) ③ PLC 연동: 시뮬레이션 모드 내장 — 모두 당사 준비, 별도 외부 시뮬레이터 불필요. ※ IO 보드는 실물(ADLink PCI-7432) 반입으로 시험</t>
  </si>
  <si>
    <t>전용 장비·센서 연동 여부(IoT 등)</t>
  </si>
  <si>
    <t>제조사·모델명·수량·용도·준비 주체까지 기재
예) IP카메라(OO사 M-100) 2대-영상촬영 등</t>
  </si>
  <si>
    <t>① 2D 산업용 카메라 Basler acA2440-20gc(GigE, 컬러 500만 화소) 1대 + 렌즈 16mm F1.4(2/3인치) 1조 + 조명 IFS-RFD-126*M30.5R-VW 1조 — 검사 촬영 ② 디지털 IO 보드 ADLink PCI-7432(DASK x64 드라이버) 1매 — 트리거 입력 · 판정 결과 출력(경광등) ③ 검사 샘플 부품 수 점 — 모두 당사 준비 · 반입. 3D 카메라(Mech-Eye) · 로봇은 시험 범위 제외 요청(3D 기능은 저장 점군으로 시험), PLC 는 시뮬레이션 모드</t>
  </si>
  <si>
    <t>클라우드 인프라 사용 여부</t>
  </si>
  <si>
    <t>미사용</t>
  </si>
  <si>
    <t>사용 서비스(EC2·S3 등)와 시험 기간 중 접근 계정 제공 가능 여부를 세부 내용에 기재</t>
  </si>
  <si>
    <t>인터넷망 연결 필요 여부</t>
  </si>
  <si>
    <t>필요</t>
  </si>
  <si>
    <t>외부 API·클라우드 사용 시 보통 '필요'</t>
  </si>
  <si>
    <t>인앱 업데이트 기능 시험 시에만 필요 — 접속 호스트 api.github.com(버전 조회) · objects.githubusercontent.com(설치 파일 다운로드, 약 400MB). 당사 무선랜 동글로 시험기관 무선망 연결 희망. 그 외 검사 기능은 폐쇄망에서 동작</t>
  </si>
  <si>
    <t>시험 데이터</t>
  </si>
  <si>
    <t>시험용 데이터 해당 여부</t>
  </si>
  <si>
    <t>해당(아래 유형 선택)</t>
  </si>
  <si>
    <t>제품 기능 확인에 필요한 시험용 데이터는 기업이 제공해야 함
'해당' 선택 시 아래 데이터 유형에서 해당되는 항목을 모두 선택·기재
(단순 관리·설정형 제품 등 데이터가 불필요한 경우만 '해당없음')
※'해당없음' 선택 시 아래 데이터 항목(36~46번)은 자동 생략 처리됩니다</t>
  </si>
  <si>
    <t>└ 센서·시계열 데이터 (IoT·계측·모니터링)</t>
  </si>
  <si>
    <t>예) 온습도 등 센서 데이터 3개월분 CSV 8만건, 
장비 수집 로그 컬럼 정의(항목·단위) 포함</t>
  </si>
  <si>
    <t>└ 질의응답 정답셋 (챗봇·LLM·RAG·검색)</t>
  </si>
  <si>
    <t>예) 공공 민원 분야 지식기반 질의·정답 셋 30건 이상, 챗봇 대화 시나리오
RAG 업로드용 원천 문서 + 기대 답변
주요 활용 분야(예: 공공 민원, 병원) 기재 필요</t>
  </si>
  <si>
    <t>└ 영상·이미지 데이터 (객체인식·영상분석·CCTV)</t>
  </si>
  <si>
    <t>제공 예정(세부기재)</t>
  </si>
  <si>
    <t>예) 사람/차/번호판 등 5종 객체 및 쓰러짐/군집 등 20개 이벤트별 라벨링 이미지 1,000장, 시나리오별 영상 200건 + 정답(어노테이션)
탐지 가능 객체/이벤트 수·데이터 형식·해상도·건수 기재 필요</t>
  </si>
  <si>
    <t>이미지 230장 — 딥러닝 추론 도구 120장(학습된 ONNX 모델 5개 + 결함 확인용 3개) + 규칙 기반 검사 도구 110장. 검사 도구 40종 전부에 대해 도구별 시연 레시피 · 입력 이미지 · 기대 결과표(측정값 · 판정, v1.47.3 으로 확인)를 한 묶음으로 제공. 검사 대상 부품의 정상/불량 이미지(반입 카메라 해상도 2448×2048, PNG). 압축 파일 1개 + SHA-256(파일별 해시 목록 동봉). 실물 부품 + 카메라 라이브 촬영 병행</t>
  </si>
  <si>
    <t>└ 문서 데이터 (문서관리·전자문서·OCR)</t>
  </si>
  <si>
    <t>예) 포맷별(hwp·docx·pdf·xlsx 등) 샘플 각 1종 이상
OCR은 스캔 문서 + 정답 텍스트 포함</t>
  </si>
  <si>
    <t>└ 공간(GIS) 데이터 (지도·시설물 관리)</t>
  </si>
  <si>
    <t>예) 수치지도·SHP 파일, 시설물 좌표·속성 데이터</t>
  </si>
  <si>
    <t>└ 보안·로그 데이터 (탐지·차단 확인용)</t>
  </si>
  <si>
    <t>예) 탐지/차단 규칙(DoS 등 40개) 및 시나리오별 로그·패킷 샘플, 악성 샘플(무해화 처리)
탐지 규칙(정책 등) 개수 기재 필요</t>
  </si>
  <si>
    <t>└ 검증용 이력 데이터 (예측·추천·이상탐지)</t>
  </si>
  <si>
    <t>예) 과거 이력 데이터 + 실측 정답값, 정상/이상 케이스 포함 셋</t>
  </si>
  <si>
    <t>불량률 예측 기능(웹 리포트) 확인용 생산 이력 데이터 — 데모 시드 데이터 제공 가능</t>
  </si>
  <si>
    <t>└ 음성 데이터 (음성인식·합성·화자분리)</t>
  </si>
  <si>
    <t>예) 화자별 음성 파일 + 정답 전사문(스크립트)
다국어를 지원할 경우, 지원 언어 목록 추가 기재 필요</t>
  </si>
  <si>
    <t>└ 정형(DB) 데이터 (조회·통계·백업·마이그레이션)</t>
  </si>
  <si>
    <t>예) 샘플 DB(스키마 + 레코드 1만건), 컬럼 정의서
이기종 DB 시험 필요 시 대상 DB 종류 기재</t>
  </si>
  <si>
    <t>└ 기타 유형 데이터</t>
  </si>
  <si>
    <t>위 유형에 없는 데이터 — 내용·형식·수량 기재</t>
  </si>
  <si>
    <t>3D 점군 16개(.vpc — 카메라 내부 파라미터 포함): 실촬영 8 · 실촬영 가공 불량 3 · 기준 점군 1 · 직선 피팅용 합성 4. 판정이 설정된 시연 레시피 + 기대 결과표 — 3D 기능을 저장 점군으로 시험</t>
  </si>
  <si>
    <t>시험 데이터 내 개인정보 포함 여부</t>
  </si>
  <si>
    <t>개인정보는 마스킹·가명처리 후 제공을 원칙으로 함</t>
  </si>
  <si>
    <t>기타</t>
  </si>
  <si>
    <t>매뉴얼, 제품설명서(예: 홍보 브로셔, 제품 카탈로그) 준비 상태</t>
  </si>
  <si>
    <t>준비 완료</t>
  </si>
  <si>
    <t>관리자/사용자 매뉴얼 외 제품설명서(별도 양식)
시험 시작 전 제출 필요
다국어 시험 시 해당 언어 매뉴얼 필요</t>
  </si>
  <si>
    <t>사용자 매뉴얼 v3.0 (VMS_사용자매뉴얼_v3.0.docx / .pdf, 236쪽) 작성 완료 — 시스템 구성 · 설치 · 설정 마법사 · 검사 운전 · 레시피 편집 · 비전 도구 전체 · 검사 설정 예제 · 생산 관리 웹 · AI 학습 플랫폼(선택, 인증 범위 밖) · 유지보수 · 문제 조치 수록(그림 202개 — 비전 도구마다 실제 실행 화면 포함). 제품설명서(v1.47.3) 별도 제출</t>
  </si>
  <si>
    <t>KOLAS 시험성적서 발급 희망 여부</t>
  </si>
  <si>
    <t>미희망</t>
  </si>
  <si>
    <t>KOLAS 시험 성적서가 필요한 경우 선택
※ 발주처로 부터 KOLAS 성적서를 요구받은 경우 '희망' 선택
※ 제품 구성 환경에 따라 불가능할 수 있으며, 기간 및 수수료에 영향 미침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</si>
</sst>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5">
    <font>
      <sz val="11"/>
      <color theme="1"/>
      <name val="Calibri"/>
      <family val="2"/>
      <charset val="1"/>
    </font>
    <font>
      <sz val="11"/>
      <color theme="1"/>
      <name val="맑은 고딕"/>
      <family val="3"/>
      <charset val="129"/>
    </font>
    <font>
      <b/>
      <sz val="16"/>
      <color rgb="FF1F3864"/>
      <name val="맑은 고딕"/>
      <family val="3"/>
      <charset val="129"/>
    </font>
    <font>
      <sz val="9"/>
      <color rgb="FF404040"/>
      <name val="Noto Sans CJK SC"/>
      <family val="2"/>
      <charset val="1"/>
    </font>
    <font>
      <sz val="9"/>
      <color rgb="FF404040"/>
      <name val="맑은 고딕"/>
      <family val="3"/>
      <charset val="129"/>
    </font>
    <font>
      <b/>
      <sz val="10"/>
      <name val="Noto Sans CJK SC"/>
      <family val="2"/>
      <charset val="1"/>
    </font>
    <font>
      <b/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FFFFFF"/>
      <name val="Noto Sans CJK SC"/>
      <family val="2"/>
      <charset val="1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1F3864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595959"/>
      <name val="Noto Sans CJK SC"/>
      <family val="2"/>
      <charset val="1"/>
    </font>
    <font>
      <sz val="10"/>
      <color rgb="FF595959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name val="Noto Sans CJK SC"/>
      <family val="3"/>
      <charset val="129"/>
    </font>
    <font>
      <b/>
      <sz val="11"/>
      <color rgb="FF404040"/>
      <name val="Noto Sans CJK SC"/>
      <family val="1"/>
      <charset val="1"/>
    </font>
    <font>
      <sz val="10"/>
      <color rgb="FF595959"/>
      <name val="Noto Sans CJK SC"/>
      <family val="3"/>
      <charset val="129"/>
    </font>
    <font>
      <sz val="10"/>
      <color rgb="FF595959"/>
      <name val="Noto Sans CJK SC"/>
      <family val="3"/>
    </font>
    <font>
      <sz val="20"/>
      <color theme="1"/>
      <name val="Cambria"/>
      <family val="3"/>
      <charset val="129"/>
      <scheme val="major"/>
    </font>
    <font>
      <sz val="11"/>
      <color theme="1"/>
      <name val="Cambria"/>
      <family val="3"/>
      <charset val="129"/>
      <scheme val="major"/>
    </font>
    <font>
      <b/>
      <sz val="8"/>
      <color theme="0"/>
      <name val="맑은 고딕"/>
      <family val="3"/>
      <charset val="129"/>
    </font>
    <font>
      <sz val="10"/>
      <name val="Noto Sans CJK SC"/>
      <family val="2"/>
      <charset val="129"/>
    </font>
    <font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1" diagonalDown="1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thin">
        <color rgb="FFBFBFBF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8" fillId="3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2" fillId="5" borderId="3" xfId="0" applyFont="1" applyFill="1" applyBorder="1" applyAlignment="1">
      <alignment horizontal="center" vertical="center"/>
    </xf>
    <xf numFmtId="164" fontId="22" fillId="5" borderId="3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4" fillId="0" borderId="4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7" fillId="2" borderId="0" xfId="0" applyFont="1" applyFill="1" applyAlignment="1">
      <alignment vertical="center"/>
    </xf>
    <xf numFmtId="0" fontId="7" fillId="0" borderId="0" xfId="0" applyFont="1"/>
    <xf numFmtId="0" fontId="5" fillId="0" borderId="0" xfId="0" applyFont="1"/>
  </cellXfs>
  <cellStyles count="1">
    <cellStyle name="표준" xfId="0" builtinId="0"/>
  </cellStyles>
  <dxfs count="8">
    <dxf>
      <font>
        <sz val="10"/>
        <color rgb="FF808080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2E7D32"/>
        <name val="맑은 고딕"/>
        <charset val="1"/>
      </font>
    </dxf>
    <dxf>
      <font>
        <b/>
        <sz val="10"/>
        <color rgb="FFC00000"/>
        <name val="맑은 고딕"/>
        <charset val="1"/>
      </font>
      <fill>
        <patternFill>
          <bgColor rgb="FFFCE4D6"/>
        </patternFill>
      </fill>
    </dxf>
    <dxf>
      <font>
        <sz val="10"/>
        <color rgb="FF808080"/>
        <name val="맑은 고딕"/>
        <charset val="1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9"/>
  <sheetViews>
    <sheetView showGridLines="0" zoomScale="85" zoomScaleNormal="85" workbookViewId="0">
      <pane ySplit="7" topLeftCell="A44" activePane="bottomLeft" state="frozen"/>
      <selection pane="bottomLeft" activeCell="E49" sqref="E49"/>
    </sheetView>
  </sheetViews>
  <sheetFormatPr defaultColWidth="8.81640625" defaultRowHeight="17"/>
  <cols>
    <col min="1" max="1" width="5" style="1" customWidth="1"/>
    <col min="2" max="2" width="20.54296875" style="1" customWidth="1"/>
    <col min="3" max="3" width="44.1796875" style="1" customWidth="1"/>
    <col min="4" max="4" width="24" style="2" customWidth="1"/>
    <col min="5" max="5" width="62.81640625" style="1" customWidth="1"/>
    <col min="6" max="6" width="45.1796875" style="3" customWidth="1"/>
    <col min="7" max="7" width="11.1796875" style="1" customWidth="1"/>
    <col min="8" max="11" width="8.81640625" style="1" customWidth="1"/>
    <col min="12" max="16384" width="8.81640625" style="1"/>
  </cols>
  <sheetData>
    <row r="1" spans="1:7" ht="26.25" customHeight="1">
      <c r="A1" s="41" t="s">
        <v>186</v>
      </c>
      <c r="B1" s="38"/>
      <c r="C1" s="38"/>
      <c r="D1" s="39"/>
      <c r="E1" s="38"/>
      <c r="F1" s="40"/>
    </row>
    <row r="2" spans="1:7" ht="31.25" customHeight="1">
      <c r="A2" s="43" t="s">
        <v>187</v>
      </c>
      <c r="B2" s="38"/>
      <c r="C2" s="38"/>
      <c r="D2" s="39"/>
      <c r="E2" s="38"/>
      <c r="F2" s="40"/>
      <c r="G2" s="38"/>
    </row>
    <row r="3" spans="1:7">
      <c r="A3" s="37" t="s">
        <v>188</v>
      </c>
      <c r="B3" s="38"/>
      <c r="C3" s="38"/>
      <c r="D3" s="39"/>
      <c r="E3" s="38"/>
      <c r="F3" s="40"/>
      <c r="G3" s="38"/>
    </row>
    <row r="4" spans="1:7">
      <c r="A4" s="42" t="s">
        <v>189</v>
      </c>
      <c r="B4" s="38"/>
      <c r="C4" s="38"/>
      <c r="D4" s="39"/>
      <c r="E4" s="38"/>
      <c r="F4" s="40"/>
      <c r="G4" s="38"/>
    </row>
    <row r="5" spans="1:7">
      <c r="A5" s="42" t="s">
        <v>190</v>
      </c>
      <c r="B5" s="38"/>
      <c r="C5" s="38"/>
      <c r="D5" s="39"/>
      <c r="E5" s="38"/>
      <c r="F5" s="40"/>
      <c r="G5" s="38"/>
    </row>
    <row r="6" spans="1:7" ht="18.75" customHeight="1">
      <c r="A6" s="45" t="s">
        <v>191</v>
      </c>
      <c r="B6" s="38"/>
      <c r="C6" s="4" t="str">
        <f>COUNTIF(G8:G59,"완료")+COUNTIF(G8:G59,"생략")&amp;" / "&amp;A59&amp;" 항목완료"</f>
        <v>52 / 52 항목완료</v>
      </c>
      <c r="D6" s="44" t="str">
        <f>IF(COUNTIF(G8:G59,"세부 기재 필요")&gt;0,COUNTIF(G8:G59,"세부 기재 필요")&amp;"개 항목 세부 내용 기재 필요","")</f>
        <v/>
      </c>
      <c r="E6" s="38"/>
      <c r="F6" s="40"/>
    </row>
    <row r="7" spans="1:7" s="6" customFormat="1" ht="21.75" customHeight="1">
      <c r="A7" s="5" t="s">
        <v>192</v>
      </c>
      <c r="B7" s="5" t="s">
        <v>193</v>
      </c>
      <c r="C7" s="5" t="s">
        <v>194</v>
      </c>
      <c r="D7" s="5" t="s">
        <v>195</v>
      </c>
      <c r="E7" s="5" t="s">
        <v>196</v>
      </c>
      <c r="F7" s="5" t="s">
        <v>197</v>
      </c>
      <c r="G7" s="5" t="s">
        <v>198</v>
      </c>
    </row>
    <row r="8" spans="1:7" s="6" customFormat="1" ht="43.5" customHeight="1">
      <c r="A8" s="7">
        <v>1</v>
      </c>
      <c r="B8" s="8" t="s">
        <v>199</v>
      </c>
      <c r="C8" s="18" t="s">
        <v>200</v>
      </c>
      <c r="D8" s="10"/>
      <c r="E8" s="11" t="s">
        <v>201</v>
      </c>
      <c r="F8" s="12" t="s">
        <v>202</v>
      </c>
      <c r="G8" s="13" t="str">
        <f>IF(F8="","미응답","완료")</f>
        <v>완료</v>
      </c>
    </row>
    <row r="9" spans="1:7" s="6" customFormat="1" ht="140.5" customHeight="1">
      <c r="A9" s="7">
        <f t="shared" ref="A9:A40" si="0">IF(A8&lt;&gt;"", N(A8)+1, "")</f>
        <v>2</v>
      </c>
      <c r="B9" s="8"/>
      <c r="C9" s="18" t="s">
        <v>203</v>
      </c>
      <c r="D9" s="14" t="s">
        <v>204</v>
      </c>
      <c r="E9" s="19" t="s">
        <v>205</v>
      </c>
      <c r="F9" s="12"/>
      <c r="G9" s="13" t="str">
        <f>IF(D9="","미응답",IF(AND(D9&lt;&gt;"신규인증",F9=""),"세부 기재 필요","완료"))</f>
        <v>완료</v>
      </c>
    </row>
    <row r="10" spans="1:7" s="6" customFormat="1" ht="43.5" customHeight="1">
      <c r="A10" s="7">
        <f t="shared" si="0"/>
        <v>3</v>
      </c>
      <c r="B10" s="8"/>
      <c r="C10" s="9" t="s">
        <v>206</v>
      </c>
      <c r="D10" s="14" t="s">
        <v>207</v>
      </c>
      <c r="E10" s="11" t="s">
        <v>208</v>
      </c>
      <c r="F10" s="12"/>
      <c r="G10" s="13" t="str">
        <f>IF(D10="","미응답","완료")</f>
        <v>완료</v>
      </c>
    </row>
    <row r="11" spans="1:7" s="6" customFormat="1" ht="43.5" customHeight="1">
      <c r="A11" s="7">
        <f t="shared" si="0"/>
        <v>4</v>
      </c>
      <c r="B11" s="8"/>
      <c r="C11" s="9" t="s">
        <v>209</v>
      </c>
      <c r="D11" s="14" t="s">
        <v>210</v>
      </c>
      <c r="E11" s="11" t="s">
        <v>211</v>
      </c>
      <c r="F11" s="12"/>
      <c r="G11" s="13" t="str">
        <f>IF(D11="","미응답","완료")</f>
        <v>완료</v>
      </c>
    </row>
    <row r="12" spans="1:7" s="6" customFormat="1" ht="43.5" customHeight="1">
      <c r="A12" s="7">
        <f t="shared" si="0"/>
        <v>5</v>
      </c>
      <c r="B12" s="8"/>
      <c r="C12" s="9" t="s">
        <v>212</v>
      </c>
      <c r="D12" s="14" t="s">
        <v>213</v>
      </c>
      <c r="E12" s="11" t="s">
        <v>214</v>
      </c>
      <c r="F12" s="12"/>
      <c r="G12" s="13" t="str">
        <f>IF(D12="","미응답",IF(AND(OR(D12="기타(세부 내용 기재)"),F12=""),"세부 기재 필요","완료"))</f>
        <v>완료</v>
      </c>
    </row>
    <row r="13" spans="1:7" s="6" customFormat="1" ht="43.5" customHeight="1">
      <c r="A13" s="7">
        <f t="shared" si="0"/>
        <v>6</v>
      </c>
      <c r="B13" s="9"/>
      <c r="C13" s="9" t="s">
        <v>215</v>
      </c>
      <c r="D13" s="14" t="s">
        <v>216</v>
      </c>
      <c r="E13" s="11" t="s">
        <v>217</v>
      </c>
      <c r="F13" s="12" t="s">
        <v>218</v>
      </c>
      <c r="G13" s="13" t="str">
        <f>IF(D13="","미응답",IF(AND(OR(D13="3개월 이후(세부기재)"),F13=""),"세부 기재 필요","완료"))</f>
        <v>완료</v>
      </c>
    </row>
    <row r="14" spans="1:7" s="6" customFormat="1" ht="43.5" customHeight="1">
      <c r="A14" s="7">
        <f t="shared" si="0"/>
        <v>7</v>
      </c>
      <c r="B14" s="9"/>
      <c r="C14" s="25" t="s">
        <v>219</v>
      </c>
      <c r="D14" s="14" t="s">
        <v>210</v>
      </c>
      <c r="E14" s="19" t="s">
        <v>220</v>
      </c>
      <c r="F14" s="12"/>
      <c r="G14" s="13" t="str">
        <f>IF(D14="","미응답",IF(AND(OR(D14&lt;&gt;"해당없음"),F14=""),"세부 기재 필요","완료"))</f>
        <v>완료</v>
      </c>
    </row>
    <row r="15" spans="1:7" s="6" customFormat="1" ht="43.5" customHeight="1">
      <c r="A15" s="7">
        <f t="shared" si="0"/>
        <v>8</v>
      </c>
      <c r="B15" s="8" t="s">
        <v>221</v>
      </c>
      <c r="C15" s="9" t="s">
        <v>222</v>
      </c>
      <c r="D15" s="14" t="s">
        <v>223</v>
      </c>
      <c r="E15" s="11" t="s">
        <v>224</v>
      </c>
      <c r="F15" s="12" t="s">
        <v>225</v>
      </c>
      <c r="G15" s="13" t="str">
        <f>IF(D15="","미응답",IF(AND(OR(D15="복합(2개 이상·세부기재)"),F15=""),"세부 기재 필요","완료"))</f>
        <v>완료</v>
      </c>
    </row>
    <row r="16" spans="1:7" s="6" customFormat="1" ht="48">
      <c r="A16" s="7">
        <f t="shared" si="0"/>
        <v>9</v>
      </c>
      <c r="B16" s="8"/>
      <c r="C16" s="16" t="s">
        <v>226</v>
      </c>
      <c r="D16" s="14" t="s">
        <v>227</v>
      </c>
      <c r="E16" s="15" t="s">
        <v>228</v>
      </c>
      <c r="F16" s="10" t="s">
        <v>229</v>
      </c>
      <c r="G16" s="13" t="str">
        <f>IF(D16="","미응답",IF(AND(OR(D16="있음(세부기재)"),F16=""),"세부 기재 필요","완료"))</f>
        <v>완료</v>
      </c>
    </row>
    <row r="17" spans="1:7" s="6" customFormat="1" ht="43.5" customHeight="1">
      <c r="A17" s="7">
        <f t="shared" si="0"/>
        <v>10</v>
      </c>
      <c r="B17" s="9"/>
      <c r="C17" s="9" t="s">
        <v>230</v>
      </c>
      <c r="D17" s="14" t="s">
        <v>210</v>
      </c>
      <c r="E17" s="11" t="s">
        <v>231</v>
      </c>
      <c r="F17" s="12"/>
      <c r="G17" s="13" t="str">
        <f>IF(D17="","미응답","완료")</f>
        <v>완료</v>
      </c>
    </row>
    <row r="18" spans="1:7" s="6" customFormat="1" ht="43.5" customHeight="1">
      <c r="A18" s="7">
        <f t="shared" si="0"/>
        <v>11</v>
      </c>
      <c r="B18" s="9"/>
      <c r="C18" s="9" t="s">
        <v>232</v>
      </c>
      <c r="D18" s="14" t="s">
        <v>233</v>
      </c>
      <c r="E18" s="19" t="s">
        <v>234</v>
      </c>
      <c r="F18" s="12" t="s">
        <v>235</v>
      </c>
      <c r="G18" s="13" t="str">
        <f>IF(D18="","미응답",IF(AND(OR(D18="1종",D18="2종",D18="3종 이상"),F18=""),"세부 기재 필요","완료"))</f>
        <v>완료</v>
      </c>
    </row>
    <row r="19" spans="1:7" s="6" customFormat="1" ht="43.5" customHeight="1">
      <c r="A19" s="7">
        <f t="shared" si="0"/>
        <v>12</v>
      </c>
      <c r="B19" s="9"/>
      <c r="C19" s="9" t="s">
        <v>236</v>
      </c>
      <c r="D19" s="14" t="s">
        <v>237</v>
      </c>
      <c r="E19" s="11" t="s">
        <v>238</v>
      </c>
      <c r="F19" s="12" t="s">
        <v>239</v>
      </c>
      <c r="G19" s="13" t="str">
        <f>IF(D19="","미응답",IF(AND(OR(D19="혼합(세부기재)"),F19=""),"세부 기재 필요","완료"))</f>
        <v>완료</v>
      </c>
    </row>
    <row r="20" spans="1:7" s="6" customFormat="1" ht="43.5" customHeight="1">
      <c r="A20" s="7">
        <f t="shared" si="0"/>
        <v>13</v>
      </c>
      <c r="B20" s="9"/>
      <c r="C20" s="9" t="s">
        <v>240</v>
      </c>
      <c r="D20" s="10"/>
      <c r="E20" s="11" t="s">
        <v>241</v>
      </c>
      <c r="F20" s="12" t="s">
        <v>242</v>
      </c>
      <c r="G20" s="13" t="str">
        <f>IF(F20="","미응답","완료")</f>
        <v>완료</v>
      </c>
    </row>
    <row r="21" spans="1:7" s="6" customFormat="1" ht="43.5" customHeight="1">
      <c r="A21" s="7">
        <f t="shared" si="0"/>
        <v>14</v>
      </c>
      <c r="B21" s="9"/>
      <c r="C21" s="9" t="s">
        <v>243</v>
      </c>
      <c r="D21" s="14" t="s">
        <v>244</v>
      </c>
      <c r="E21" s="11" t="s">
        <v>245</v>
      </c>
      <c r="F21" s="12"/>
      <c r="G21" s="13" t="str">
        <f>IF(D21="","미응답",IF(AND(OR(D21="제공 불가(사유 기재)"),F21=""),"세부 기재 필요","완료"))</f>
        <v>완료</v>
      </c>
    </row>
    <row r="22" spans="1:7" s="6" customFormat="1" ht="62.4" customHeight="1">
      <c r="A22" s="7">
        <f t="shared" si="0"/>
        <v>15</v>
      </c>
      <c r="B22" s="9"/>
      <c r="C22" s="16" t="s">
        <v>246</v>
      </c>
      <c r="D22" s="14" t="s">
        <v>247</v>
      </c>
      <c r="E22" s="15" t="s">
        <v>248</v>
      </c>
      <c r="F22" s="12" t="s">
        <v>249</v>
      </c>
      <c r="G22" s="13" t="str">
        <f>IF(D22="","미응답",IF(AND(D22&lt;&gt;"해당없음(서버 없음)",F22=""),"세부 기재 필요","완료"))</f>
        <v>완료</v>
      </c>
    </row>
    <row r="23" spans="1:7" s="6" customFormat="1" ht="76" customHeight="1">
      <c r="A23" s="7">
        <f t="shared" si="0"/>
        <v>16</v>
      </c>
      <c r="B23" s="9"/>
      <c r="C23" s="16" t="s">
        <v>250</v>
      </c>
      <c r="D23" s="14" t="s">
        <v>251</v>
      </c>
      <c r="E23" s="19" t="s">
        <v>252</v>
      </c>
      <c r="F23" s="12" t="s">
        <v>253</v>
      </c>
      <c r="G23" s="13" t="str">
        <f>IF(D23="","미응답",IF(AND(OR(D23="기타(세부기재)"),F23=""),"세부 기재 필요","완료"))</f>
        <v>완료</v>
      </c>
    </row>
    <row r="24" spans="1:7" s="6" customFormat="1" ht="43.5" customHeight="1">
      <c r="A24" s="7">
        <f t="shared" si="0"/>
        <v>17</v>
      </c>
      <c r="B24" s="9"/>
      <c r="C24" s="9" t="s">
        <v>254</v>
      </c>
      <c r="D24" s="14" t="s">
        <v>247</v>
      </c>
      <c r="E24" s="15" t="s">
        <v>255</v>
      </c>
      <c r="F24" s="12"/>
      <c r="G24" s="13" t="str">
        <f>IF(D24="","미응답",IF(AND(OR(D24="Docker 컨테이너(세부기재)",D24="Kubernetes 등 오케스트레이션(세부기재)",D24="VM 가상머신(세부기재)",D24="기타(세부기재)"),F24=""),"세부 기재 필요","완료"))</f>
        <v>완료</v>
      </c>
    </row>
    <row r="25" spans="1:7" s="6" customFormat="1" ht="43.5" customHeight="1">
      <c r="A25" s="7">
        <f t="shared" si="0"/>
        <v>18</v>
      </c>
      <c r="B25" s="9"/>
      <c r="C25" s="9" t="s">
        <v>256</v>
      </c>
      <c r="D25" s="10"/>
      <c r="E25" s="11" t="s">
        <v>257</v>
      </c>
      <c r="F25" s="12" t="s">
        <v>258</v>
      </c>
      <c r="G25" s="13" t="str">
        <f>IF(F25="","미응답","완료")</f>
        <v>완료</v>
      </c>
    </row>
    <row r="26" spans="1:7" s="6" customFormat="1" ht="43.5" customHeight="1">
      <c r="A26" s="7">
        <f t="shared" si="0"/>
        <v>19</v>
      </c>
      <c r="B26" s="9"/>
      <c r="C26" s="16" t="s">
        <v>259</v>
      </c>
      <c r="D26" s="14" t="s">
        <v>260</v>
      </c>
      <c r="E26" s="11" t="s">
        <v>261</v>
      </c>
      <c r="F26" s="12" t="s">
        <v>262</v>
      </c>
      <c r="G26" s="13" t="str">
        <f>IF(D26="","미응답",IF(AND(D26&lt;&gt;"사용 안 함",F26=""),"세부 기재 필요","완료"))</f>
        <v>완료</v>
      </c>
    </row>
    <row r="27" spans="1:7" s="6" customFormat="1" ht="43.5" customHeight="1">
      <c r="A27" s="7">
        <f t="shared" si="0"/>
        <v>20</v>
      </c>
      <c r="B27" s="16"/>
      <c r="C27" s="9" t="s">
        <v>263</v>
      </c>
      <c r="D27" s="14" t="s">
        <v>264</v>
      </c>
      <c r="E27" s="11" t="s">
        <v>265</v>
      </c>
      <c r="F27" s="12" t="s">
        <v>266</v>
      </c>
      <c r="G27" s="13" t="str">
        <f>IF(D27="","미응답",IF(AND(OR(D27="있음(세부기재)"),F27=""),"세부 기재 필요","완료"))</f>
        <v>완료</v>
      </c>
    </row>
    <row r="28" spans="1:7" s="6" customFormat="1" ht="96">
      <c r="A28" s="7">
        <f t="shared" si="0"/>
        <v>21</v>
      </c>
      <c r="B28" s="16"/>
      <c r="C28" s="9" t="s">
        <v>267</v>
      </c>
      <c r="D28" s="14" t="s">
        <v>264</v>
      </c>
      <c r="E28" s="15" t="s">
        <v>268</v>
      </c>
      <c r="F28" s="12" t="s">
        <v>269</v>
      </c>
      <c r="G28" s="13" t="str">
        <f>IF(D28="","미응답",IF(AND(OR(D28="있음(세부기재)"),F28=""),"세부 기재 필요","완료"))</f>
        <v>완료</v>
      </c>
    </row>
    <row r="29" spans="1:7" s="6" customFormat="1" ht="43.5" customHeight="1">
      <c r="A29" s="7">
        <f t="shared" si="0"/>
        <v>22</v>
      </c>
      <c r="B29" s="16"/>
      <c r="C29" s="9" t="s">
        <v>270</v>
      </c>
      <c r="D29" s="14" t="s">
        <v>271</v>
      </c>
      <c r="E29" s="15" t="s">
        <v>272</v>
      </c>
      <c r="F29" s="12" t="s">
        <v>273</v>
      </c>
      <c r="G29" s="13" t="str">
        <f>IF(D29="","미응답",IF(AND(OR(D29="있음(세부기재)"),F29=""),"세부 기재 필요","완료"))</f>
        <v>완료</v>
      </c>
    </row>
    <row r="30" spans="1:7" s="6" customFormat="1" ht="43.5" customHeight="1">
      <c r="A30" s="7">
        <f t="shared" si="0"/>
        <v>23</v>
      </c>
      <c r="B30" s="8" t="s">
        <v>274</v>
      </c>
      <c r="C30" s="9" t="s">
        <v>275</v>
      </c>
      <c r="D30" s="14" t="s">
        <v>276</v>
      </c>
      <c r="E30" s="11" t="s">
        <v>277</v>
      </c>
      <c r="F30" s="12"/>
      <c r="G30" s="13" t="str">
        <f>IF(D30="","미응답","완료")</f>
        <v>완료</v>
      </c>
    </row>
    <row r="31" spans="1:7" s="6" customFormat="1" ht="43.5" customHeight="1">
      <c r="A31" s="7">
        <f t="shared" si="0"/>
        <v>24</v>
      </c>
      <c r="B31" s="16"/>
      <c r="C31" s="9" t="s">
        <v>278</v>
      </c>
      <c r="D31" s="14" t="s">
        <v>279</v>
      </c>
      <c r="E31" s="11" t="s">
        <v>280</v>
      </c>
      <c r="F31" s="12"/>
      <c r="G31" s="13" t="str">
        <f>IF(D31="","미응답",IF(AND(OR(D31="기타(세부기재)"),F31=""),"세부 기재 필요","완료"))</f>
        <v>완료</v>
      </c>
    </row>
    <row r="32" spans="1:7" s="6" customFormat="1" ht="43.5" customHeight="1">
      <c r="A32" s="7">
        <f t="shared" si="0"/>
        <v>25</v>
      </c>
      <c r="B32" s="16"/>
      <c r="C32" s="9" t="s">
        <v>281</v>
      </c>
      <c r="D32" s="14" t="s">
        <v>210</v>
      </c>
      <c r="E32" s="11" t="s">
        <v>282</v>
      </c>
      <c r="F32" s="12"/>
      <c r="G32" s="13" t="str">
        <f>IF(D32="","미응답",IF(AND(OR(D32="연동함(세부기재)"),F32=""),"세부 기재 필요","완료"))</f>
        <v>완료</v>
      </c>
    </row>
    <row r="33" spans="1:7" s="6" customFormat="1" ht="43.5" customHeight="1">
      <c r="A33" s="7">
        <f t="shared" si="0"/>
        <v>26</v>
      </c>
      <c r="B33" s="16"/>
      <c r="C33" s="9" t="s">
        <v>283</v>
      </c>
      <c r="D33" s="14" t="s">
        <v>284</v>
      </c>
      <c r="E33" s="11" t="s">
        <v>285</v>
      </c>
      <c r="F33" s="12" t="s">
        <v>286</v>
      </c>
      <c r="G33" s="13" t="str">
        <f>IF(D33="","미응답",IF(AND(OR(D33="별도 화면·프로그램(세부기재)"),F33=""),"세부 기재 필요","완료"))</f>
        <v>완료</v>
      </c>
    </row>
    <row r="34" spans="1:7" s="6" customFormat="1" ht="43.5" customHeight="1">
      <c r="A34" s="7">
        <f t="shared" si="0"/>
        <v>27</v>
      </c>
      <c r="B34" s="16"/>
      <c r="C34" s="9" t="s">
        <v>287</v>
      </c>
      <c r="D34" s="14" t="s">
        <v>244</v>
      </c>
      <c r="E34" s="11" t="s">
        <v>288</v>
      </c>
      <c r="F34" s="12" t="s">
        <v>289</v>
      </c>
      <c r="G34" s="13" t="str">
        <f>IF(D34="","미응답",IF(AND(OR(D34="제공 불가(사유 기재)"),F34=""),"세부 기재 필요","완료"))</f>
        <v>완료</v>
      </c>
    </row>
    <row r="35" spans="1:7" s="6" customFormat="1" ht="43.5" customHeight="1">
      <c r="A35" s="7">
        <f t="shared" si="0"/>
        <v>28</v>
      </c>
      <c r="B35" s="17" t="s">
        <v>290</v>
      </c>
      <c r="C35" s="16" t="s">
        <v>291</v>
      </c>
      <c r="D35" s="14" t="s">
        <v>292</v>
      </c>
      <c r="E35" s="11" t="s">
        <v>293</v>
      </c>
      <c r="F35" s="12"/>
      <c r="G35" s="13" t="str">
        <f>IF(D35="","미응답","완료")</f>
        <v>완료</v>
      </c>
    </row>
    <row r="36" spans="1:7" s="6" customFormat="1" ht="128">
      <c r="A36" s="7">
        <f t="shared" si="0"/>
        <v>29</v>
      </c>
      <c r="B36" s="16"/>
      <c r="C36" s="16" t="s">
        <v>294</v>
      </c>
      <c r="D36" s="14" t="s">
        <v>295</v>
      </c>
      <c r="E36" s="11" t="s">
        <v>296</v>
      </c>
      <c r="F36" s="12" t="s">
        <v>297</v>
      </c>
      <c r="G36" s="13" t="str">
        <f>IF($D$35="미포함","생략",IF(D36="","미응답",IF(AND(OR(D36="외부 API 활용(세부기재)",D36="오픈소스 모델 활용(세부기재)",D36="혼합(세부기재)"),F36=""),"세부 기재 필요","완료")))</f>
        <v>완료</v>
      </c>
    </row>
    <row r="37" spans="1:7" s="6" customFormat="1" ht="43.5" customHeight="1">
      <c r="A37" s="7">
        <f t="shared" si="0"/>
        <v>30</v>
      </c>
      <c r="B37" s="16"/>
      <c r="C37" s="16" t="s">
        <v>298</v>
      </c>
      <c r="D37" s="14" t="s">
        <v>299</v>
      </c>
      <c r="E37" s="11" t="s">
        <v>300</v>
      </c>
      <c r="F37" s="12"/>
      <c r="G37" s="13" t="str">
        <f>IF($D$35="미포함","생략",IF(D37="","미응답",IF(AND(OR(D37="기타(세부기재)"),F37=""),"세부 기재 필요","완료")))</f>
        <v>완료</v>
      </c>
    </row>
    <row r="38" spans="1:7" s="6" customFormat="1" ht="112">
      <c r="A38" s="7">
        <f t="shared" si="0"/>
        <v>31</v>
      </c>
      <c r="B38" s="16"/>
      <c r="C38" s="9" t="s">
        <v>301</v>
      </c>
      <c r="D38" s="14" t="s">
        <v>302</v>
      </c>
      <c r="E38" s="11" t="s">
        <v>303</v>
      </c>
      <c r="F38" s="12" t="s">
        <v>304</v>
      </c>
      <c r="G38" s="13" t="str">
        <f>IF($D$35="미포함","생략",IF(D38="","미응답",IF(AND(OR(D38="제공 가능(세부기재)",D38="제공 불가(사유 기재)"),F38=""),"세부 기재 필요","완료")))</f>
        <v>완료</v>
      </c>
    </row>
    <row r="39" spans="1:7" s="6" customFormat="1" ht="43.5" customHeight="1">
      <c r="A39" s="7">
        <f t="shared" si="0"/>
        <v>32</v>
      </c>
      <c r="B39" s="16"/>
      <c r="C39" s="9" t="s">
        <v>305</v>
      </c>
      <c r="D39" s="14" t="s">
        <v>306</v>
      </c>
      <c r="E39" s="11" t="s">
        <v>307</v>
      </c>
      <c r="F39" s="12"/>
      <c r="G39" s="13" t="str">
        <f>IF($D$35="미포함","생략",IF(D39="","미응답","완료"))</f>
        <v>완료</v>
      </c>
    </row>
    <row r="40" spans="1:7" s="6" customFormat="1" ht="43.5" customHeight="1">
      <c r="A40" s="7">
        <f t="shared" si="0"/>
        <v>33</v>
      </c>
      <c r="B40" s="8" t="s">
        <v>308</v>
      </c>
      <c r="C40" s="9" t="s">
        <v>309</v>
      </c>
      <c r="D40" s="14" t="s">
        <v>210</v>
      </c>
      <c r="E40" s="15" t="s">
        <v>310</v>
      </c>
      <c r="F40" s="12"/>
      <c r="G40" s="13" t="str">
        <f>IF(D40="","미응답",IF(AND(OR(D40="복수·기타(세부기재)"),F40=""),"세부 기재 필요","완료"))</f>
        <v>완료</v>
      </c>
    </row>
    <row r="41" spans="1:7" s="6" customFormat="1" ht="43.5" customHeight="1">
      <c r="A41" s="7">
        <f t="shared" ref="A41:A59" si="1">IF(A40&lt;&gt;"", N(A40)+1, "")</f>
        <v>34</v>
      </c>
      <c r="B41" s="16"/>
      <c r="C41" s="9" t="s">
        <v>311</v>
      </c>
      <c r="D41" s="14" t="s">
        <v>210</v>
      </c>
      <c r="E41" s="11" t="s">
        <v>312</v>
      </c>
      <c r="F41" s="12"/>
      <c r="G41" s="13" t="str">
        <f>IF(D41="","미응답",IF(AND(OR(D41="연동함(세부기재)"),F41=""),"세부 기재 필요","완료"))</f>
        <v>완료</v>
      </c>
    </row>
    <row r="42" spans="1:7" s="6" customFormat="1" ht="90" customHeight="1">
      <c r="A42" s="7">
        <f t="shared" si="1"/>
        <v>35</v>
      </c>
      <c r="B42" s="16"/>
      <c r="C42" s="9" t="s">
        <v>313</v>
      </c>
      <c r="D42" s="14" t="s">
        <v>314</v>
      </c>
      <c r="E42" s="11" t="s">
        <v>315</v>
      </c>
      <c r="F42" s="12" t="s">
        <v>316</v>
      </c>
      <c r="G42" s="13" t="str">
        <f>IF(D42="","미응답",IF(AND(D42&lt;&gt;"해당없음",F42=""),"세부 기재 필요","완료"))</f>
        <v>완료</v>
      </c>
    </row>
    <row r="43" spans="1:7" s="6" customFormat="1" ht="132" customHeight="1">
      <c r="A43" s="7">
        <f t="shared" si="1"/>
        <v>36</v>
      </c>
      <c r="B43" s="16"/>
      <c r="C43" s="9" t="s">
        <v>317</v>
      </c>
      <c r="D43" s="14" t="s">
        <v>264</v>
      </c>
      <c r="E43" s="11" t="s">
        <v>318</v>
      </c>
      <c r="F43" s="12" t="s">
        <v>319</v>
      </c>
      <c r="G43" s="13" t="str">
        <f>IF(D43="","미응답",IF(AND(OR(D43="있음(세부기재)"),F43=""),"세부 기재 필요","완료"))</f>
        <v>완료</v>
      </c>
    </row>
    <row r="44" spans="1:7" s="6" customFormat="1" ht="43.5" customHeight="1">
      <c r="A44" s="7">
        <f t="shared" si="1"/>
        <v>37</v>
      </c>
      <c r="B44" s="16"/>
      <c r="C44" s="9" t="s">
        <v>320</v>
      </c>
      <c r="D44" s="14" t="s">
        <v>321</v>
      </c>
      <c r="E44" s="11" t="s">
        <v>322</v>
      </c>
      <c r="F44" s="12"/>
      <c r="G44" s="13" t="str">
        <f>IF(D44="","미응답",IF(AND(D44&lt;&gt;"미사용",F44=""),"세부 기재 필요","완료"))</f>
        <v>완료</v>
      </c>
    </row>
    <row r="45" spans="1:7" s="6" customFormat="1" ht="80">
      <c r="A45" s="7">
        <f t="shared" si="1"/>
        <v>38</v>
      </c>
      <c r="B45" s="16"/>
      <c r="C45" s="9" t="s">
        <v>323</v>
      </c>
      <c r="D45" s="14" t="s">
        <v>324</v>
      </c>
      <c r="E45" s="11" t="s">
        <v>325</v>
      </c>
      <c r="F45" s="12" t="s">
        <v>326</v>
      </c>
      <c r="G45" s="13" t="str">
        <f>IF(D45="","미응답","완료")</f>
        <v>완료</v>
      </c>
    </row>
    <row r="46" spans="1:7" s="6" customFormat="1" ht="43.5" customHeight="1">
      <c r="A46" s="7">
        <f t="shared" si="1"/>
        <v>39</v>
      </c>
      <c r="B46" s="8" t="s">
        <v>327</v>
      </c>
      <c r="C46" s="9" t="s">
        <v>328</v>
      </c>
      <c r="D46" s="14" t="s">
        <v>329</v>
      </c>
      <c r="E46" s="19" t="s">
        <v>330</v>
      </c>
      <c r="F46" s="12"/>
      <c r="G46" s="13" t="str">
        <f>IF(D46="","미응답","완료")</f>
        <v>완료</v>
      </c>
    </row>
    <row r="47" spans="1:7" s="6" customFormat="1" ht="43.5" customHeight="1">
      <c r="A47" s="7">
        <f t="shared" si="1"/>
        <v>40</v>
      </c>
      <c r="B47" s="16"/>
      <c r="C47" s="9" t="s">
        <v>331</v>
      </c>
      <c r="D47" s="14" t="s">
        <v>210</v>
      </c>
      <c r="E47" s="19" t="s">
        <v>332</v>
      </c>
      <c r="F47" s="12"/>
      <c r="G47" s="13" t="str">
        <f t="shared" ref="G47:G56" si="2">IF($D$46="해당없음(데이터 불필요)","생략",IF(D47="","미응답",IF(AND(D47="제공 예정(세부기재)",F47=""),"세부 기재 필요","완료")))</f>
        <v>완료</v>
      </c>
    </row>
    <row r="48" spans="1:7" s="6" customFormat="1" ht="48" customHeight="1">
      <c r="A48" s="7">
        <f t="shared" si="1"/>
        <v>41</v>
      </c>
      <c r="B48" s="16"/>
      <c r="C48" s="9" t="s">
        <v>333</v>
      </c>
      <c r="D48" s="14" t="s">
        <v>210</v>
      </c>
      <c r="E48" s="15" t="s">
        <v>334</v>
      </c>
      <c r="F48" s="12"/>
      <c r="G48" s="13" t="str">
        <f t="shared" si="2"/>
        <v>완료</v>
      </c>
    </row>
    <row r="49" spans="1:7" s="6" customFormat="1" ht="144">
      <c r="A49" s="7">
        <f t="shared" si="1"/>
        <v>42</v>
      </c>
      <c r="B49" s="16"/>
      <c r="C49" s="9" t="s">
        <v>335</v>
      </c>
      <c r="D49" s="14" t="s">
        <v>336</v>
      </c>
      <c r="E49" s="19" t="s">
        <v>337</v>
      </c>
      <c r="F49" s="12" t="s">
        <v>338</v>
      </c>
      <c r="G49" s="13" t="str">
        <f t="shared" si="2"/>
        <v>완료</v>
      </c>
    </row>
    <row r="50" spans="1:7" s="6" customFormat="1" ht="43.5" customHeight="1">
      <c r="A50" s="7">
        <f t="shared" si="1"/>
        <v>43</v>
      </c>
      <c r="B50" s="16"/>
      <c r="C50" s="9" t="s">
        <v>339</v>
      </c>
      <c r="D50" s="14" t="s">
        <v>210</v>
      </c>
      <c r="E50" s="19" t="s">
        <v>340</v>
      </c>
      <c r="F50" s="12"/>
      <c r="G50" s="13" t="str">
        <f t="shared" si="2"/>
        <v>완료</v>
      </c>
    </row>
    <row r="51" spans="1:7" s="6" customFormat="1" ht="43.5" customHeight="1">
      <c r="A51" s="7">
        <f t="shared" si="1"/>
        <v>44</v>
      </c>
      <c r="B51" s="16"/>
      <c r="C51" s="9" t="s">
        <v>341</v>
      </c>
      <c r="D51" s="14" t="s">
        <v>210</v>
      </c>
      <c r="E51" s="11" t="s">
        <v>342</v>
      </c>
      <c r="F51" s="12"/>
      <c r="G51" s="13" t="str">
        <f t="shared" si="2"/>
        <v>완료</v>
      </c>
    </row>
    <row r="52" spans="1:7" s="6" customFormat="1" ht="43.5" customHeight="1">
      <c r="A52" s="7">
        <f t="shared" si="1"/>
        <v>45</v>
      </c>
      <c r="B52" s="16"/>
      <c r="C52" s="9" t="s">
        <v>343</v>
      </c>
      <c r="D52" s="14" t="s">
        <v>210</v>
      </c>
      <c r="E52" s="15" t="s">
        <v>344</v>
      </c>
      <c r="F52" s="12"/>
      <c r="G52" s="13" t="str">
        <f t="shared" si="2"/>
        <v>완료</v>
      </c>
    </row>
    <row r="53" spans="1:7" s="6" customFormat="1" ht="43.5" customHeight="1">
      <c r="A53" s="7">
        <f t="shared" si="1"/>
        <v>46</v>
      </c>
      <c r="B53" s="16"/>
      <c r="C53" s="9" t="s">
        <v>345</v>
      </c>
      <c r="D53" s="14" t="s">
        <v>336</v>
      </c>
      <c r="E53" s="11" t="s">
        <v>346</v>
      </c>
      <c r="F53" s="12" t="s">
        <v>347</v>
      </c>
      <c r="G53" s="13" t="str">
        <f t="shared" si="2"/>
        <v>완료</v>
      </c>
    </row>
    <row r="54" spans="1:7" s="6" customFormat="1" ht="43.5" customHeight="1">
      <c r="A54" s="7">
        <f t="shared" si="1"/>
        <v>47</v>
      </c>
      <c r="B54" s="16"/>
      <c r="C54" s="9" t="s">
        <v>348</v>
      </c>
      <c r="D54" s="14" t="s">
        <v>210</v>
      </c>
      <c r="E54" s="19" t="s">
        <v>349</v>
      </c>
      <c r="F54" s="12"/>
      <c r="G54" s="13" t="str">
        <f t="shared" si="2"/>
        <v>완료</v>
      </c>
    </row>
    <row r="55" spans="1:7" s="6" customFormat="1" ht="43.5" customHeight="1">
      <c r="A55" s="7">
        <f t="shared" si="1"/>
        <v>48</v>
      </c>
      <c r="B55" s="16"/>
      <c r="C55" s="9" t="s">
        <v>350</v>
      </c>
      <c r="D55" s="14" t="s">
        <v>210</v>
      </c>
      <c r="E55" s="11" t="s">
        <v>351</v>
      </c>
      <c r="F55" s="12"/>
      <c r="G55" s="13" t="str">
        <f t="shared" si="2"/>
        <v>완료</v>
      </c>
    </row>
    <row r="56" spans="1:7" s="6" customFormat="1" ht="64">
      <c r="A56" s="7">
        <f t="shared" si="1"/>
        <v>49</v>
      </c>
      <c r="B56" s="16"/>
      <c r="C56" s="9" t="s">
        <v>352</v>
      </c>
      <c r="D56" s="14" t="s">
        <v>336</v>
      </c>
      <c r="E56" s="11" t="s">
        <v>353</v>
      </c>
      <c r="F56" s="12" t="s">
        <v>354</v>
      </c>
      <c r="G56" s="13" t="str">
        <f t="shared" si="2"/>
        <v>완료</v>
      </c>
    </row>
    <row r="57" spans="1:7" s="6" customFormat="1" ht="43.5" customHeight="1">
      <c r="A57" s="7">
        <f t="shared" si="1"/>
        <v>50</v>
      </c>
      <c r="B57" s="16"/>
      <c r="C57" s="9" t="s">
        <v>355</v>
      </c>
      <c r="D57" s="14" t="s">
        <v>306</v>
      </c>
      <c r="E57" s="11" t="s">
        <v>356</v>
      </c>
      <c r="F57" s="12"/>
      <c r="G57" s="13" t="str">
        <f>IF($D$46="해당없음(데이터 불필요)","생략",IF(D57="","미응답",IF(AND(OR(D57="포함(원본·사유 기재)"),F57=""),"세부 기재 필요","완료")))</f>
        <v>완료</v>
      </c>
    </row>
    <row r="58" spans="1:7" s="6" customFormat="1" ht="112">
      <c r="A58" s="7">
        <f t="shared" si="1"/>
        <v>51</v>
      </c>
      <c r="B58" s="8" t="s">
        <v>357</v>
      </c>
      <c r="C58" s="18" t="s">
        <v>358</v>
      </c>
      <c r="D58" s="14" t="s">
        <v>359</v>
      </c>
      <c r="E58" s="11" t="s">
        <v>360</v>
      </c>
      <c r="F58" s="12" t="s">
        <v>361</v>
      </c>
      <c r="G58" s="13" t="str">
        <f>IF(D58="","미응답",IF(AND(OR(D58="작성 중(세부기재)"),F58=""),"세부 기재 필요","완료"))</f>
        <v>완료</v>
      </c>
    </row>
    <row r="59" spans="1:7" s="6" customFormat="1" ht="52.75" customHeight="1">
      <c r="A59" s="7">
        <f t="shared" si="1"/>
        <v>52</v>
      </c>
      <c r="B59" s="8"/>
      <c r="C59" s="9" t="s">
        <v>362</v>
      </c>
      <c r="D59" s="14" t="s">
        <v>363</v>
      </c>
      <c r="E59" s="20" t="s">
        <v>364</v>
      </c>
      <c r="F59" s="12"/>
      <c r="G59" s="13" t="str">
        <f>IF(D59="","미응답",IF(AND(OR(D59="작성 중(세부기재)"),F59=""),"세부 기재 필요","완료"))</f>
        <v>완료</v>
      </c>
    </row>
  </sheetData>
  <mergeCells count="7">
    <mergeCell ref="A3:G3"/>
    <mergeCell ref="A1:F1"/>
    <mergeCell ref="A4:G4"/>
    <mergeCell ref="A2:G2"/>
    <mergeCell ref="D6:F6"/>
    <mergeCell ref="A6:B6"/>
    <mergeCell ref="A5:G5"/>
  </mergeCells>
  <conditionalFormatting sqref="D36:D39">
    <cfRule type="expression" dxfId="7" priority="10">
      <formula>$D$35="미포함"</formula>
    </cfRule>
  </conditionalFormatting>
  <conditionalFormatting sqref="D47:D57">
    <cfRule type="expression" dxfId="6" priority="12">
      <formula>$D$46="해당없음(데이터 불필요)"</formula>
    </cfRule>
  </conditionalFormatting>
  <conditionalFormatting sqref="F36:F39">
    <cfRule type="expression" dxfId="5" priority="11">
      <formula>$D$35="미포함"</formula>
    </cfRule>
  </conditionalFormatting>
  <conditionalFormatting sqref="F47:F57">
    <cfRule type="expression" dxfId="4" priority="13">
      <formula>$D$46="해당없음(데이터 불필요)"</formula>
    </cfRule>
  </conditionalFormatting>
  <conditionalFormatting sqref="G8:G59">
    <cfRule type="expression" dxfId="3" priority="1">
      <formula>G8="미응답"</formula>
    </cfRule>
    <cfRule type="expression" dxfId="2" priority="2">
      <formula>G8="세부 기재 필요"</formula>
    </cfRule>
    <cfRule type="expression" dxfId="1" priority="3">
      <formula>G8="완료"</formula>
    </cfRule>
    <cfRule type="expression" dxfId="0" priority="4">
      <formula>G8="생략"</formula>
    </cfRule>
  </conditionalFormatting>
  <dataValidations count="37">
    <dataValidation type="list" allowBlank="1" showErrorMessage="1" errorTitle="잘못된 입력" error="목록에서 선택해 주세요." sqref="D15" xr:uid="{00000000-0002-0000-0000-000000000000}">
      <formula1>"웹 애플리케이션,모바일 앱,PC 설치형,서버·엔진(백엔드),임베디드/펌웨어,복합(2개 이상·세부기재)"</formula1>
      <formula2>0</formula2>
    </dataValidation>
    <dataValidation type="list" allowBlank="1" showErrorMessage="1" errorTitle="잘못된 입력" error="목록에서 선택해 주세요." sqref="D17" xr:uid="{00000000-0002-0000-0000-000001000000}">
      <formula1>"해당없음,Android,iOS,Android + iOS"</formula1>
      <formula2>0</formula2>
    </dataValidation>
    <dataValidation type="list" allowBlank="1" showErrorMessage="1" errorTitle="잘못된 입력" error="목록에서 선택해 주세요." sqref="D18" xr:uid="{00000000-0002-0000-0000-000002000000}">
      <formula1>"사용 안 함,1종,2종,3종 이상"</formula1>
      <formula2>0</formula2>
    </dataValidation>
    <dataValidation type="list" allowBlank="1" showErrorMessage="1" errorTitle="잘못된 입력" error="목록에서 선택해 주세요." sqref="D19" xr:uid="{00000000-0002-0000-0000-000003000000}">
      <formula1>"클라우드(SaaS),구축형(On-premise),패키지 설치형,혼합(세부기재)"</formula1>
      <formula2>0</formula2>
    </dataValidation>
    <dataValidation type="list" allowBlank="1" showErrorMessage="1" errorTitle="잘못된 입력" error="목록에서 선택해 주세요." sqref="D21" xr:uid="{00000000-0002-0000-0000-000004000000}">
      <formula1>"제공 가능,제공 불가(사유 기재)"</formula1>
      <formula2>0</formula2>
    </dataValidation>
    <dataValidation type="list" allowBlank="1" showErrorMessage="1" errorTitle="잘못된 입력" error="목록에서 선택해 주세요." sqref="D24" xr:uid="{00000000-0002-0000-0000-000005000000}">
      <formula1>"물리 서버 직접 설치,VM 가상머신(세부기재),Docker 컨테이너(세부기재),Kubernetes 등 오케스트레이션(세부기재),신청기업 원격접속,해당없음(서버 없음),기타(세부기재)"</formula1>
      <formula2>0</formula2>
    </dataValidation>
    <dataValidation type="list" allowBlank="1" showErrorMessage="1" errorTitle="잘못된 입력" error="목록에서 선택해 주세요." sqref="D26" xr:uid="{00000000-0002-0000-0000-000006000000}">
      <formula1>"사용 안 함,PostgreSQL(세부기재),MySQL·MariaDB(세부기재),Oracle(세부기재),MS-SQL(세부기재),기타·복수(세부기재)"</formula1>
      <formula2>0</formula2>
    </dataValidation>
    <dataValidation type="list" allowBlank="1" showErrorMessage="1" errorTitle="잘못된 입력" error="목록에서 선택해 주세요." sqref="D30" xr:uid="{00000000-0002-0000-0000-000007000000}">
      <formula1>"있음,없음"</formula1>
      <formula2>0</formula2>
    </dataValidation>
    <dataValidation type="list" allowBlank="1" showErrorMessage="1" errorTitle="잘못된 입력" error="목록에서 선택해 주세요." sqref="D31" xr:uid="{00000000-0002-0000-0000-000008000000}">
      <formula1>"해당없음,ID/PW만,ID/PW + 추가인증(OTP 등),기타(세부기재)"</formula1>
      <formula2>0</formula2>
    </dataValidation>
    <dataValidation type="list" allowBlank="1" showErrorMessage="1" errorTitle="잘못된 입력" error="목록에서 선택해 주세요." sqref="D32 D41" xr:uid="{00000000-0002-0000-0000-000009000000}">
      <formula1>"해당없음,연동함(세부기재)"</formula1>
      <formula2>0</formula2>
    </dataValidation>
    <dataValidation type="list" allowBlank="1" showErrorMessage="1" errorTitle="잘못된 입력" error="목록에서 선택해 주세요." sqref="D33" xr:uid="{00000000-0002-0000-0000-00000A000000}">
      <formula1>"구분 없음,동일 프로그램 내 권한 구분,별도 화면·프로그램(세부기재)"</formula1>
      <formula2>0</formula2>
    </dataValidation>
    <dataValidation type="list" allowBlank="1" showErrorMessage="1" errorTitle="잘못된 입력" error="목록에서 선택해 주세요." sqref="D34" xr:uid="{00000000-0002-0000-0000-00000B000000}">
      <formula1>"제공 가능,제공 불가(사유 기재),해당없음"</formula1>
      <formula2>0</formula2>
    </dataValidation>
    <dataValidation type="list" allowBlank="1" showErrorMessage="1" errorTitle="잘못된 입력" error="목록에서 선택해 주세요." sqref="D35" xr:uid="{00000000-0002-0000-0000-00000C000000}">
      <formula1>"포함,미포함"</formula1>
      <formula2>0</formula2>
    </dataValidation>
    <dataValidation type="list" allowBlank="1" showErrorMessage="1" errorTitle="잘못된 입력" error="목록에서 선택해 주세요." sqref="D36" xr:uid="{00000000-0002-0000-0000-00000D000000}">
      <formula1>"해당없음,자체 개발 모델,외부 API 활용(세부기재),오픈소스 모델 활용(세부기재),혼합(세부기재)"</formula1>
      <formula2>0</formula2>
    </dataValidation>
    <dataValidation type="list" allowBlank="1" showErrorMessage="1" errorTitle="잘못된 입력" error="목록에서 선택해 주세요." sqref="D37" xr:uid="{00000000-0002-0000-0000-00000E000000}">
      <formula1>"해당없음,영상·이미지 분석,자연어 처리(LLM 포함),음성 인식·합성,예측·추천·이상탐지,기타(세부기재)"</formula1>
      <formula2>0</formula2>
    </dataValidation>
    <dataValidation type="list" allowBlank="1" showErrorMessage="1" errorTitle="잘못된 입력" error="목록에서 선택해 주세요." sqref="D38" xr:uid="{00000000-0002-0000-0000-00000F000000}">
      <formula1>"해당없음,제공 가능(세부기재),제공 불가(사유 기재)"</formula1>
      <formula2>0</formula2>
    </dataValidation>
    <dataValidation type="list" allowBlank="1" showErrorMessage="1" errorTitle="잘못된 입력" error="목록에서 선택해 주세요." sqref="D39" xr:uid="{00000000-0002-0000-0000-000010000000}">
      <formula1>"해당없음,포함,미포함"</formula1>
      <formula2>0</formula2>
    </dataValidation>
    <dataValidation type="list" allowBlank="1" showErrorMessage="1" errorTitle="잘못된 입력" error="목록에서 선택해 주세요." sqref="D40" xr:uid="{00000000-0002-0000-0000-000011000000}">
      <formula1>"해당없음,카카오맵,네이버지도,Google Maps,GPS·GIS 장비,복수·기타(세부기재)"</formula1>
      <formula2>0</formula2>
    </dataValidation>
    <dataValidation type="list" allowBlank="1" showErrorMessage="1" errorTitle="잘못된 입력" error="목록에서 선택해 주세요." sqref="D43" xr:uid="{00000000-0002-0000-0000-000012000000}">
      <formula1>"해당없음,있음(세부기재)"</formula1>
      <formula2>0</formula2>
    </dataValidation>
    <dataValidation type="list" allowBlank="1" showErrorMessage="1" errorTitle="잘못된 입력" error="목록에서 선택해 주세요." sqref="D44" xr:uid="{00000000-0002-0000-0000-000013000000}">
      <formula1>"미사용,AWS(세부기재),NCP(세부기재),Azure(세부기재),기타 클라우드(세부기재)"</formula1>
      <formula2>0</formula2>
    </dataValidation>
    <dataValidation type="list" allowBlank="1" showErrorMessage="1" errorTitle="잘못된 입력" error="목록에서 선택해 주세요." sqref="D45" xr:uid="{00000000-0002-0000-0000-000014000000}">
      <formula1>"필요,불필요(폐쇄망 가능)"</formula1>
      <formula2>0</formula2>
    </dataValidation>
    <dataValidation type="list" allowBlank="1" showErrorMessage="1" errorTitle="잘못된 입력" error="목록에서 선택해 주세요." sqref="D57" xr:uid="{00000000-0002-0000-0000-000015000000}">
      <formula1>"미포함,포함(마스킹·가명처리 제공),포함(원본·사유 기재)"</formula1>
      <formula2>0</formula2>
    </dataValidation>
    <dataValidation type="list" allowBlank="1" showErrorMessage="1" errorTitle="잘못된 입력" error="목록에서 선택해 주세요." sqref="D58" xr:uid="{00000000-0002-0000-0000-000016000000}">
      <formula1>"준비 완료,작성 중(세부기재)"</formula1>
      <formula2>0</formula2>
    </dataValidation>
    <dataValidation type="list" allowBlank="1" showErrorMessage="1" errorTitle="잘못된 입력" error="목록에서 선택해 주세요." sqref="D46" xr:uid="{00000000-0002-0000-0000-000017000000}">
      <formula1>"해당없음(데이터 불필요),해당(아래 유형 선택)"</formula1>
      <formula2>0</formula2>
    </dataValidation>
    <dataValidation type="list" allowBlank="1" showErrorMessage="1" errorTitle="잘못된 입력" error="목록에서 선택해 주세요." sqref="D47:D56" xr:uid="{00000000-0002-0000-0000-000018000000}">
      <formula1>"해당없음,제공 예정(세부기재)"</formula1>
      <formula2>0</formula2>
    </dataValidation>
    <dataValidation type="list" allowBlank="1" showErrorMessage="1" errorTitle="잘못된 입력" error="목록에서 선택해 주세요." sqref="D13" xr:uid="{00000000-0002-0000-0000-000019000000}">
      <formula1>"1개월 이내,1~3개월 이내,3개월 이후(세부기재),협의 가능"</formula1>
      <formula2>0</formula2>
    </dataValidation>
    <dataValidation type="list" allowBlank="1" showErrorMessage="1" errorTitle="잘못된 입력" error="목록에서 선택해 주세요." sqref="D22" xr:uid="{00000000-0002-0000-0000-00001A000000}">
      <formula1>"해당없음(서버 없음),Rocky Linux,Red Hat(RHEL),Ubuntu,Windows Server,기타·복수 OS(세부기재)"</formula1>
      <formula2>0</formula2>
    </dataValidation>
    <dataValidation type="list" allowBlank="1" showErrorMessage="1" errorTitle="잘못된 입력" error="목록에서 선택해 주세요." sqref="D23" xr:uid="{00000000-0002-0000-0000-00001B000000}">
      <formula1>"Windows 11,macOS,Windows + macOS,웹 전용(브라우저만 사용),기타(세부기재)"</formula1>
      <formula2>0</formula2>
    </dataValidation>
    <dataValidation type="list" allowBlank="1" showErrorMessage="1" errorTitle="잘못된 입력" error="목록에서 선택해 주세요." sqref="D42" xr:uid="{00000000-0002-0000-0000-00001C000000}">
      <formula1>"해당없음,센서·거래 등 데이터 발생용(세부기재),외부 API 대체·Mock(세부기재),부하 발생용(세부기재),복수 역할(세부기재)"</formula1>
      <formula2>0</formula2>
    </dataValidation>
    <dataValidation type="list" allowBlank="1" showErrorMessage="1" errorTitle="잘못된 입력" error="목록에서 선택해 주세요." sqref="D9" xr:uid="{00000000-0002-0000-0000-00001D000000}">
      <formula1>"신규인증,재인증"</formula1>
      <formula2>0</formula2>
    </dataValidation>
    <dataValidation type="list" allowBlank="1" showErrorMessage="1" errorTitle="잘못된 입력" error="목록에서 선택해 주세요." sqref="D10" xr:uid="{00000000-0002-0000-0000-00001E000000}">
      <formula1>"대기업,중소기업,공공기관·공기업,산학(대학·연구소),기타"</formula1>
      <formula2>0</formula2>
    </dataValidation>
    <dataValidation type="list" allowBlank="1" showErrorMessage="1" errorTitle="잘못된 입력" error="목록에서 선택해 주세요." sqref="D11" xr:uid="{00000000-0002-0000-0000-00001F000000}">
      <formula1>"해당없음,TTA 회원사,KISIA 회원사,신SW상품대상,TTA MOU 체결 기관"</formula1>
    </dataValidation>
    <dataValidation type="list" allowBlank="1" showErrorMessage="1" errorTitle="잘못된 입력" error="목록에서 선택해 주세요." sqref="D27:D29" xr:uid="{00000000-0002-0000-0000-000020000000}">
      <formula1>"해당사항 없음,있음(세부기재)"</formula1>
      <formula2>0</formula2>
    </dataValidation>
    <dataValidation type="list" allowBlank="1" showErrorMessage="1" errorTitle="잘못된 입력" error="목록에서 선택해 주세요." sqref="D12" xr:uid="{00000000-0002-0000-0000-000021000000}">
      <formula1>"품질 검증, 조달 등록, 과제 결과, 기타(세부 내용 기재)"</formula1>
    </dataValidation>
    <dataValidation type="list" allowBlank="1" showErrorMessage="1" errorTitle="잘못된 입력" error="목록에서 선택해 주세요." sqref="D16" xr:uid="{00000000-0002-0000-0000-000022000000}">
      <formula1>"작성완료"</formula1>
    </dataValidation>
    <dataValidation type="list" allowBlank="1" showErrorMessage="1" errorTitle="잘못된 입력" error="목록에서 선택해 주세요." sqref="D14" xr:uid="{00000000-0002-0000-0000-000023000000}">
      <formula1>"해당없음,CC인증, 보안기능확인서, 신속확인서, 성능평가확인서"</formula1>
    </dataValidation>
    <dataValidation type="list" allowBlank="1" showErrorMessage="1" errorTitle="잘못된 입력" error="목록에서 선택해 주세요." sqref="D59" xr:uid="{00000000-0002-0000-0000-000024000000}">
      <formula1>"희망,미희망"</formula1>
    </dataValidation>
  </dataValidations>
  <pageMargins left="0.75" right="0.75" top="1" bottom="1" header="0.511811023622047" footer="0.511811023622047"/>
  <pageSetup scale="56" fitToHeight="0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F70"/>
  <sheetViews>
    <sheetView tabSelected="1" topLeftCell="A4" workbookViewId="0">
      <selection activeCell="D18" sqref="D18"/>
    </sheetView>
  </sheetViews>
  <sheetFormatPr defaultRowHeight="14.5"/>
  <cols>
    <col min="1" max="1" width="17.453125" bestFit="1" customWidth="1"/>
    <col min="2" max="2" width="24.36328125" style="27" bestFit="1" customWidth="1"/>
    <col min="3" max="3" width="15.1796875" style="27" bestFit="1" customWidth="1"/>
    <col min="4" max="4" width="47.81640625" style="30" bestFit="1" customWidth="1"/>
    <col min="5" max="5" width="148" style="29" bestFit="1" customWidth="1"/>
    <col min="6" max="6" width="51.1796875" bestFit="1" customWidth="1"/>
  </cols>
  <sheetData>
    <row r="2" spans="1:6" ht="30" customHeight="1">
      <c r="A2" s="32" t="s">
        <v>0</v>
      </c>
      <c r="B2" s="33"/>
      <c r="C2" s="33"/>
      <c r="D2" s="34"/>
      <c r="E2" s="35"/>
      <c r="F2" s="36"/>
    </row>
    <row r="3" spans="1:6" ht="17" customHeight="1">
      <c r="A3" s="21"/>
      <c r="B3" s="26"/>
      <c r="C3" s="26"/>
      <c r="D3" s="28"/>
      <c r="E3" s="28"/>
      <c r="F3" s="21"/>
    </row>
    <row r="4" spans="1:6" ht="17" customHeight="1">
      <c r="A4" s="21"/>
      <c r="B4" s="26"/>
      <c r="C4" s="26"/>
      <c r="D4" s="28"/>
      <c r="E4" s="28"/>
      <c r="F4" s="22"/>
    </row>
    <row r="5" spans="1:6">
      <c r="A5" s="23" t="s">
        <v>1</v>
      </c>
      <c r="B5" s="23" t="s">
        <v>2</v>
      </c>
      <c r="C5" s="23" t="s">
        <v>3</v>
      </c>
      <c r="D5" s="23" t="s">
        <v>4</v>
      </c>
      <c r="E5" s="23" t="s">
        <v>5</v>
      </c>
      <c r="F5" s="24" t="s">
        <v>6</v>
      </c>
    </row>
    <row r="6" spans="1:6" ht="16" customHeight="1">
      <c r="A6" s="31" t="s">
        <v>7</v>
      </c>
      <c r="B6" s="31" t="s">
        <v>8</v>
      </c>
      <c r="C6" s="31" t="s">
        <v>9</v>
      </c>
      <c r="D6" s="31" t="s">
        <v>10</v>
      </c>
      <c r="E6" s="31" t="s">
        <v>11</v>
      </c>
      <c r="F6" s="31"/>
    </row>
    <row r="7" spans="1:6" ht="16" customHeight="1">
      <c r="A7" s="31"/>
      <c r="B7" s="31"/>
      <c r="C7" s="31"/>
      <c r="D7" s="31" t="s">
        <v>12</v>
      </c>
      <c r="E7" s="31" t="s">
        <v>13</v>
      </c>
      <c r="F7" s="31"/>
    </row>
    <row r="8" spans="1:6" ht="16" customHeight="1">
      <c r="A8" s="31"/>
      <c r="B8" s="31"/>
      <c r="C8" s="31"/>
      <c r="D8" s="31" t="s">
        <v>14</v>
      </c>
      <c r="E8" s="31" t="s">
        <v>15</v>
      </c>
      <c r="F8" s="31" t="s">
        <v>16</v>
      </c>
    </row>
    <row r="9" spans="1:6" ht="16" customHeight="1">
      <c r="A9" s="31"/>
      <c r="B9" s="31"/>
      <c r="C9" s="31" t="s">
        <v>17</v>
      </c>
      <c r="D9" s="31" t="s">
        <v>18</v>
      </c>
      <c r="E9" s="31" t="s">
        <v>19</v>
      </c>
      <c r="F9" s="31"/>
    </row>
    <row r="10" spans="1:6" ht="16" customHeight="1">
      <c r="A10" s="31"/>
      <c r="B10" s="31"/>
      <c r="C10" s="31"/>
      <c r="D10" s="31" t="s">
        <v>20</v>
      </c>
      <c r="E10" s="31" t="s">
        <v>21</v>
      </c>
      <c r="F10" s="31"/>
    </row>
    <row r="11" spans="1:6" ht="16" customHeight="1">
      <c r="A11" s="31"/>
      <c r="B11" s="31"/>
      <c r="C11" s="31"/>
      <c r="D11" s="31" t="s">
        <v>22</v>
      </c>
      <c r="E11" s="31" t="s">
        <v>23</v>
      </c>
      <c r="F11" s="31" t="s">
        <v>24</v>
      </c>
    </row>
    <row r="12" spans="1:6" ht="16" customHeight="1">
      <c r="A12" s="31"/>
      <c r="B12" s="31"/>
      <c r="C12" s="31" t="s">
        <v>25</v>
      </c>
      <c r="D12" s="31" t="s">
        <v>26</v>
      </c>
      <c r="E12" s="31" t="s">
        <v>27</v>
      </c>
      <c r="F12" s="31"/>
    </row>
    <row r="13" spans="1:6" ht="16" customHeight="1">
      <c r="A13" s="31"/>
      <c r="B13" s="31"/>
      <c r="C13" s="31"/>
      <c r="D13" s="31" t="s">
        <v>28</v>
      </c>
      <c r="E13" s="31" t="s">
        <v>29</v>
      </c>
      <c r="F13" s="31"/>
    </row>
    <row r="14" spans="1:6" ht="16" customHeight="1">
      <c r="A14" s="31"/>
      <c r="B14" s="31"/>
      <c r="C14" s="31"/>
      <c r="D14" s="31" t="s">
        <v>30</v>
      </c>
      <c r="E14" s="31" t="s">
        <v>31</v>
      </c>
      <c r="F14" s="31" t="s">
        <v>32</v>
      </c>
    </row>
    <row r="15" spans="1:6" ht="16" customHeight="1">
      <c r="A15" s="31"/>
      <c r="B15" s="31"/>
      <c r="C15" s="31"/>
      <c r="D15" s="31" t="s">
        <v>33</v>
      </c>
      <c r="E15" s="31" t="s">
        <v>34</v>
      </c>
      <c r="F15" s="31"/>
    </row>
    <row r="16" spans="1:6" ht="16" customHeight="1">
      <c r="A16" s="31"/>
      <c r="B16" s="31"/>
      <c r="C16" s="31" t="s">
        <v>35</v>
      </c>
      <c r="D16" s="31" t="s">
        <v>36</v>
      </c>
      <c r="E16" s="31" t="s">
        <v>37</v>
      </c>
      <c r="F16" s="31" t="s">
        <v>38</v>
      </c>
    </row>
    <row r="17" spans="1:6" ht="16" customHeight="1">
      <c r="A17" s="31"/>
      <c r="B17" s="31" t="s">
        <v>39</v>
      </c>
      <c r="C17" s="31" t="s">
        <v>40</v>
      </c>
      <c r="D17" s="31" t="s">
        <v>41</v>
      </c>
      <c r="E17" s="31" t="s">
        <v>42</v>
      </c>
      <c r="F17" s="31"/>
    </row>
    <row r="18" spans="1:6" ht="16" customHeight="1">
      <c r="A18" s="31"/>
      <c r="B18" s="31"/>
      <c r="C18" s="31"/>
      <c r="D18" s="31" t="s">
        <v>43</v>
      </c>
      <c r="E18" s="31" t="s">
        <v>44</v>
      </c>
      <c r="F18" s="31"/>
    </row>
    <row r="19" spans="1:6" ht="16" customHeight="1">
      <c r="A19" s="31"/>
      <c r="B19" s="31"/>
      <c r="C19" s="31" t="s">
        <v>45</v>
      </c>
      <c r="D19" s="31" t="s">
        <v>46</v>
      </c>
      <c r="E19" s="31" t="s">
        <v>47</v>
      </c>
      <c r="F19" s="31" t="s">
        <v>48</v>
      </c>
    </row>
    <row r="20" spans="1:6" ht="16" customHeight="1">
      <c r="A20" s="31"/>
      <c r="B20" s="31"/>
      <c r="C20" s="31"/>
      <c r="D20" s="31" t="s">
        <v>49</v>
      </c>
      <c r="E20" s="31" t="s">
        <v>50</v>
      </c>
      <c r="F20" s="31" t="s">
        <v>51</v>
      </c>
    </row>
    <row r="21" spans="1:6" ht="16" customHeight="1">
      <c r="A21" s="31"/>
      <c r="B21" s="31"/>
      <c r="C21" s="31" t="s">
        <v>52</v>
      </c>
      <c r="D21" s="31" t="s">
        <v>53</v>
      </c>
      <c r="E21" s="31" t="s">
        <v>54</v>
      </c>
      <c r="F21" s="31"/>
    </row>
    <row r="22" spans="1:6" ht="16" customHeight="1">
      <c r="A22" s="31"/>
      <c r="B22" s="31"/>
      <c r="C22" s="31"/>
      <c r="D22" s="31" t="s">
        <v>55</v>
      </c>
      <c r="E22" s="31" t="s">
        <v>56</v>
      </c>
      <c r="F22" s="31"/>
    </row>
    <row r="23" spans="1:6" ht="16" customHeight="1">
      <c r="A23" s="31"/>
      <c r="B23" s="31"/>
      <c r="C23" s="31" t="s">
        <v>57</v>
      </c>
      <c r="D23" s="31" t="s">
        <v>58</v>
      </c>
      <c r="E23" s="31" t="s">
        <v>59</v>
      </c>
      <c r="F23" s="31"/>
    </row>
    <row r="24" spans="1:6" ht="16" customHeight="1">
      <c r="A24" s="31"/>
      <c r="B24" s="31"/>
      <c r="C24" s="31"/>
      <c r="D24" s="31" t="s">
        <v>60</v>
      </c>
      <c r="E24" s="31" t="s">
        <v>61</v>
      </c>
      <c r="F24" s="31"/>
    </row>
    <row r="25" spans="1:6" ht="16" customHeight="1">
      <c r="A25" s="31"/>
      <c r="B25" s="31"/>
      <c r="C25" s="31" t="s">
        <v>62</v>
      </c>
      <c r="D25" s="31" t="s">
        <v>63</v>
      </c>
      <c r="E25" s="31" t="s">
        <v>64</v>
      </c>
      <c r="F25" s="31"/>
    </row>
    <row r="26" spans="1:6" ht="16" customHeight="1">
      <c r="A26" s="31"/>
      <c r="B26" s="31"/>
      <c r="C26" s="31"/>
      <c r="D26" s="31" t="s">
        <v>65</v>
      </c>
      <c r="E26" s="31" t="s">
        <v>66</v>
      </c>
      <c r="F26" s="31"/>
    </row>
    <row r="27" spans="1:6" ht="16" customHeight="1">
      <c r="A27" s="31"/>
      <c r="B27" s="31"/>
      <c r="C27" s="31" t="s">
        <v>67</v>
      </c>
      <c r="D27" s="31" t="s">
        <v>68</v>
      </c>
      <c r="E27" s="31" t="s">
        <v>69</v>
      </c>
      <c r="F27" s="31"/>
    </row>
    <row r="28" spans="1:6" ht="16" customHeight="1">
      <c r="A28" s="31"/>
      <c r="B28" s="31"/>
      <c r="C28" s="31"/>
      <c r="D28" s="31" t="s">
        <v>70</v>
      </c>
      <c r="E28" s="31" t="s">
        <v>71</v>
      </c>
      <c r="F28" s="31"/>
    </row>
    <row r="29" spans="1:6" ht="16" customHeight="1">
      <c r="A29" s="31"/>
      <c r="B29" s="31"/>
      <c r="C29" s="31"/>
      <c r="D29" s="31" t="s">
        <v>72</v>
      </c>
      <c r="E29" s="31" t="s">
        <v>73</v>
      </c>
      <c r="F29" s="31"/>
    </row>
    <row r="30" spans="1:6" ht="16" customHeight="1">
      <c r="A30" s="31"/>
      <c r="B30" s="31"/>
      <c r="C30" s="31"/>
      <c r="D30" s="31" t="s">
        <v>74</v>
      </c>
      <c r="E30" s="31" t="s">
        <v>75</v>
      </c>
      <c r="F30" s="31"/>
    </row>
    <row r="31" spans="1:6" ht="16" customHeight="1">
      <c r="A31" s="31"/>
      <c r="B31" s="31"/>
      <c r="C31" s="31"/>
      <c r="D31" s="31" t="s">
        <v>76</v>
      </c>
      <c r="E31" s="31" t="s">
        <v>77</v>
      </c>
      <c r="F31" s="31"/>
    </row>
    <row r="32" spans="1:6" ht="16" customHeight="1">
      <c r="A32" s="31"/>
      <c r="B32" s="31"/>
      <c r="C32" s="31"/>
      <c r="D32" s="31" t="s">
        <v>78</v>
      </c>
      <c r="E32" s="31" t="s">
        <v>79</v>
      </c>
      <c r="F32" s="31"/>
    </row>
    <row r="33" spans="1:6" ht="16" customHeight="1">
      <c r="A33" s="31"/>
      <c r="B33" s="31"/>
      <c r="C33" s="31"/>
      <c r="D33" s="31" t="s">
        <v>80</v>
      </c>
      <c r="E33" s="31" t="s">
        <v>81</v>
      </c>
      <c r="F33" s="31"/>
    </row>
    <row r="34" spans="1:6" ht="16" customHeight="1">
      <c r="A34" s="31"/>
      <c r="B34" s="31"/>
      <c r="C34" s="31"/>
      <c r="D34" s="31" t="s">
        <v>82</v>
      </c>
      <c r="E34" s="31" t="s">
        <v>83</v>
      </c>
      <c r="F34" s="31" t="s">
        <v>84</v>
      </c>
    </row>
    <row r="35" spans="1:6" ht="16" customHeight="1">
      <c r="A35" s="31"/>
      <c r="B35" s="31"/>
      <c r="C35" s="31"/>
      <c r="D35" s="31" t="s">
        <v>85</v>
      </c>
      <c r="E35" s="31" t="s">
        <v>86</v>
      </c>
      <c r="F35" s="31" t="s">
        <v>87</v>
      </c>
    </row>
    <row r="36" spans="1:6" ht="16" customHeight="1">
      <c r="A36" s="31"/>
      <c r="B36" s="31"/>
      <c r="C36" s="31" t="s">
        <v>88</v>
      </c>
      <c r="D36" s="31" t="s">
        <v>89</v>
      </c>
      <c r="E36" s="31" t="s">
        <v>90</v>
      </c>
      <c r="F36" s="31" t="s">
        <v>91</v>
      </c>
    </row>
    <row r="37" spans="1:6" ht="16" customHeight="1">
      <c r="A37" s="31"/>
      <c r="B37" s="31"/>
      <c r="C37" s="31"/>
      <c r="D37" s="31" t="s">
        <v>92</v>
      </c>
      <c r="E37" s="31" t="s">
        <v>93</v>
      </c>
      <c r="F37" s="31" t="s">
        <v>94</v>
      </c>
    </row>
    <row r="38" spans="1:6" ht="16" customHeight="1">
      <c r="A38" s="31"/>
      <c r="B38" s="31"/>
      <c r="C38" s="31"/>
      <c r="D38" s="31" t="s">
        <v>95</v>
      </c>
      <c r="E38" s="31" t="s">
        <v>96</v>
      </c>
      <c r="F38" s="31" t="s">
        <v>94</v>
      </c>
    </row>
    <row r="39" spans="1:6" ht="16" customHeight="1">
      <c r="A39" s="31"/>
      <c r="B39" s="31"/>
      <c r="C39" s="31"/>
      <c r="D39" s="31" t="s">
        <v>97</v>
      </c>
      <c r="E39" s="31" t="s">
        <v>98</v>
      </c>
      <c r="F39" s="31" t="s">
        <v>94</v>
      </c>
    </row>
    <row r="40" spans="1:6" ht="16" customHeight="1">
      <c r="A40" s="31"/>
      <c r="B40" s="31"/>
      <c r="C40" s="31"/>
      <c r="D40" s="31" t="s">
        <v>99</v>
      </c>
      <c r="E40" s="31" t="s">
        <v>100</v>
      </c>
      <c r="F40" s="31" t="s">
        <v>94</v>
      </c>
    </row>
    <row r="41" spans="1:6" ht="16" customHeight="1">
      <c r="A41" s="31"/>
      <c r="B41" s="31"/>
      <c r="C41" s="31"/>
      <c r="D41" s="31" t="s">
        <v>101</v>
      </c>
      <c r="E41" s="31" t="s">
        <v>102</v>
      </c>
      <c r="F41" s="31" t="s">
        <v>94</v>
      </c>
    </row>
    <row r="42" spans="1:6" ht="16" customHeight="1">
      <c r="A42" s="31"/>
      <c r="B42" s="31"/>
      <c r="C42" s="31" t="s">
        <v>103</v>
      </c>
      <c r="D42" s="31" t="s">
        <v>104</v>
      </c>
      <c r="E42" s="31" t="s">
        <v>105</v>
      </c>
      <c r="F42" s="31"/>
    </row>
    <row r="43" spans="1:6" ht="16" customHeight="1">
      <c r="A43" s="31"/>
      <c r="B43" s="31"/>
      <c r="C43" s="31"/>
      <c r="D43" s="31" t="s">
        <v>106</v>
      </c>
      <c r="E43" s="31" t="s">
        <v>107</v>
      </c>
      <c r="F43" s="31"/>
    </row>
    <row r="44" spans="1:6" ht="16" customHeight="1">
      <c r="A44" s="31"/>
      <c r="B44" s="31"/>
      <c r="C44" s="31" t="s">
        <v>108</v>
      </c>
      <c r="D44" s="31" t="s">
        <v>109</v>
      </c>
      <c r="E44" s="31" t="s">
        <v>110</v>
      </c>
      <c r="F44" s="31" t="s">
        <v>111</v>
      </c>
    </row>
    <row r="45" spans="1:6" ht="16" customHeight="1">
      <c r="A45" s="31"/>
      <c r="B45" s="31"/>
      <c r="C45" s="31"/>
      <c r="D45" s="31" t="s">
        <v>112</v>
      </c>
      <c r="E45" s="31" t="s">
        <v>113</v>
      </c>
      <c r="F45" s="31" t="s">
        <v>114</v>
      </c>
    </row>
    <row r="46" spans="1:6" ht="16" customHeight="1">
      <c r="A46" s="31"/>
      <c r="B46" s="31"/>
      <c r="C46" s="31" t="s">
        <v>115</v>
      </c>
      <c r="D46" s="31" t="s">
        <v>116</v>
      </c>
      <c r="E46" s="31" t="s">
        <v>117</v>
      </c>
      <c r="F46" s="31"/>
    </row>
    <row r="47" spans="1:6" ht="16" customHeight="1">
      <c r="A47" s="31"/>
      <c r="B47" s="31"/>
      <c r="C47" s="31" t="s">
        <v>118</v>
      </c>
      <c r="D47" s="31" t="s">
        <v>119</v>
      </c>
      <c r="E47" s="31" t="s">
        <v>120</v>
      </c>
      <c r="F47" s="31" t="s">
        <v>121</v>
      </c>
    </row>
    <row r="48" spans="1:6" ht="16" customHeight="1">
      <c r="A48" s="31"/>
      <c r="B48" s="31"/>
      <c r="C48" s="31"/>
      <c r="D48" s="31" t="s">
        <v>122</v>
      </c>
      <c r="E48" s="31" t="s">
        <v>123</v>
      </c>
      <c r="F48" s="31"/>
    </row>
    <row r="49" spans="1:6" ht="16" customHeight="1">
      <c r="A49" s="31"/>
      <c r="B49" s="31" t="s">
        <v>124</v>
      </c>
      <c r="C49" s="31" t="s">
        <v>125</v>
      </c>
      <c r="D49" s="31" t="s">
        <v>126</v>
      </c>
      <c r="E49" s="31" t="s">
        <v>127</v>
      </c>
      <c r="F49" s="31"/>
    </row>
    <row r="50" spans="1:6" ht="16" customHeight="1">
      <c r="A50" s="31"/>
      <c r="B50" s="31"/>
      <c r="C50" s="31" t="s">
        <v>128</v>
      </c>
      <c r="D50" s="31" t="s">
        <v>129</v>
      </c>
      <c r="E50" s="31" t="s">
        <v>130</v>
      </c>
      <c r="F50" s="31"/>
    </row>
    <row r="51" spans="1:6" ht="16" customHeight="1">
      <c r="A51" s="31"/>
      <c r="B51" s="31" t="s">
        <v>131</v>
      </c>
      <c r="C51" s="31" t="s">
        <v>132</v>
      </c>
      <c r="D51" s="31" t="s">
        <v>133</v>
      </c>
      <c r="E51" s="31" t="s">
        <v>134</v>
      </c>
      <c r="F51" s="31" t="s">
        <v>135</v>
      </c>
    </row>
    <row r="52" spans="1:6" ht="16" customHeight="1">
      <c r="A52" s="31"/>
      <c r="B52" s="31"/>
      <c r="C52" s="31" t="s">
        <v>136</v>
      </c>
      <c r="D52" s="31" t="s">
        <v>137</v>
      </c>
      <c r="E52" s="31" t="s">
        <v>138</v>
      </c>
      <c r="F52" s="31"/>
    </row>
    <row r="53" spans="1:6" ht="16" customHeight="1">
      <c r="A53" s="31"/>
      <c r="B53" s="31"/>
      <c r="C53" s="31"/>
      <c r="D53" s="31" t="s">
        <v>139</v>
      </c>
      <c r="E53" s="31" t="s">
        <v>140</v>
      </c>
      <c r="F53" s="31"/>
    </row>
    <row r="54" spans="1:6" ht="16" customHeight="1">
      <c r="A54" s="31"/>
      <c r="B54" s="31"/>
      <c r="C54" s="31"/>
      <c r="D54" s="31" t="s">
        <v>141</v>
      </c>
      <c r="E54" s="31" t="s">
        <v>142</v>
      </c>
      <c r="F54" s="31"/>
    </row>
    <row r="55" spans="1:6" ht="16" customHeight="1">
      <c r="A55" s="31"/>
      <c r="B55" s="31"/>
      <c r="C55" s="31" t="s">
        <v>143</v>
      </c>
      <c r="D55" s="31" t="s">
        <v>144</v>
      </c>
      <c r="E55" s="31" t="s">
        <v>145</v>
      </c>
      <c r="F55" s="31"/>
    </row>
    <row r="56" spans="1:6" ht="16" customHeight="1">
      <c r="A56" s="31"/>
      <c r="B56" s="31"/>
      <c r="C56" s="31"/>
      <c r="D56" s="31" t="s">
        <v>146</v>
      </c>
      <c r="E56" s="31" t="s">
        <v>147</v>
      </c>
      <c r="F56" s="31"/>
    </row>
    <row r="57" spans="1:6" ht="16" customHeight="1">
      <c r="A57" s="31"/>
      <c r="B57" s="31"/>
      <c r="C57" s="31" t="s">
        <v>148</v>
      </c>
      <c r="D57" s="31" t="s">
        <v>149</v>
      </c>
      <c r="E57" s="31" t="s">
        <v>150</v>
      </c>
      <c r="F57" s="31"/>
    </row>
    <row r="58" spans="1:6" ht="16" customHeight="1">
      <c r="A58" s="31"/>
      <c r="B58" s="31"/>
      <c r="C58" s="31"/>
      <c r="D58" s="31" t="s">
        <v>151</v>
      </c>
      <c r="E58" s="31" t="s">
        <v>152</v>
      </c>
      <c r="F58" s="31"/>
    </row>
    <row r="59" spans="1:6" ht="16" customHeight="1">
      <c r="A59" s="31"/>
      <c r="B59" s="31"/>
      <c r="C59" s="31"/>
      <c r="D59" s="31" t="s">
        <v>153</v>
      </c>
      <c r="E59" s="31" t="s">
        <v>154</v>
      </c>
      <c r="F59" s="31"/>
    </row>
    <row r="60" spans="1:6" ht="16" customHeight="1">
      <c r="A60" s="31"/>
      <c r="B60" s="31"/>
      <c r="C60" s="31"/>
      <c r="D60" s="31" t="s">
        <v>155</v>
      </c>
      <c r="E60" s="31" t="s">
        <v>156</v>
      </c>
      <c r="F60" s="31"/>
    </row>
    <row r="61" spans="1:6" ht="16" customHeight="1">
      <c r="A61" s="31"/>
      <c r="B61" s="31"/>
      <c r="C61" s="31" t="s">
        <v>157</v>
      </c>
      <c r="D61" s="31" t="s">
        <v>158</v>
      </c>
      <c r="E61" s="31" t="s">
        <v>159</v>
      </c>
      <c r="F61" s="31"/>
    </row>
    <row r="62" spans="1:6" ht="16" customHeight="1">
      <c r="A62" s="31"/>
      <c r="B62" s="31"/>
      <c r="C62" s="31"/>
      <c r="D62" s="31" t="s">
        <v>160</v>
      </c>
      <c r="E62" s="31" t="s">
        <v>161</v>
      </c>
      <c r="F62" s="31"/>
    </row>
    <row r="63" spans="1:6" ht="16" customHeight="1">
      <c r="A63" s="31"/>
      <c r="B63" s="31"/>
      <c r="C63" s="31"/>
      <c r="D63" s="31" t="s">
        <v>162</v>
      </c>
      <c r="E63" s="31" t="s">
        <v>163</v>
      </c>
      <c r="F63" s="31"/>
    </row>
    <row r="64" spans="1:6" ht="16" customHeight="1">
      <c r="A64" s="31"/>
      <c r="B64" s="31"/>
      <c r="C64" s="31"/>
      <c r="D64" s="31" t="s">
        <v>164</v>
      </c>
      <c r="E64" s="31" t="s">
        <v>165</v>
      </c>
      <c r="F64" s="31" t="s">
        <v>166</v>
      </c>
    </row>
    <row r="65" spans="1:6" ht="16" customHeight="1">
      <c r="A65" s="31"/>
      <c r="B65" s="31"/>
      <c r="C65" s="31" t="s">
        <v>167</v>
      </c>
      <c r="D65" s="31" t="s">
        <v>168</v>
      </c>
      <c r="E65" s="31" t="s">
        <v>169</v>
      </c>
      <c r="F65" s="31"/>
    </row>
    <row r="66" spans="1:6" ht="16" customHeight="1">
      <c r="A66" s="31"/>
      <c r="B66" s="31"/>
      <c r="C66" s="31"/>
      <c r="D66" s="31" t="s">
        <v>170</v>
      </c>
      <c r="E66" s="31" t="s">
        <v>171</v>
      </c>
      <c r="F66" s="31"/>
    </row>
    <row r="67" spans="1:6" ht="16" customHeight="1">
      <c r="A67" s="31"/>
      <c r="B67" s="31"/>
      <c r="C67" s="31"/>
      <c r="D67" s="31" t="s">
        <v>172</v>
      </c>
      <c r="E67" s="31" t="s">
        <v>173</v>
      </c>
      <c r="F67" s="31"/>
    </row>
    <row r="68" spans="1:6" ht="16" customHeight="1">
      <c r="A68" s="31"/>
      <c r="B68" s="31" t="s">
        <v>174</v>
      </c>
      <c r="C68" s="31" t="s">
        <v>175</v>
      </c>
      <c r="D68" s="31" t="s">
        <v>176</v>
      </c>
      <c r="E68" s="31" t="s">
        <v>177</v>
      </c>
      <c r="F68" s="31"/>
    </row>
    <row r="69" spans="1:6" ht="16" customHeight="1">
      <c r="A69" s="31"/>
      <c r="B69" s="31"/>
      <c r="C69" s="31" t="s">
        <v>178</v>
      </c>
      <c r="D69" s="31" t="s">
        <v>179</v>
      </c>
      <c r="E69" s="31" t="s">
        <v>180</v>
      </c>
      <c r="F69" s="31" t="s">
        <v>181</v>
      </c>
    </row>
    <row r="70" spans="1:6" ht="16" customHeight="1">
      <c r="A70" s="31"/>
      <c r="B70" s="31"/>
      <c r="C70" s="31" t="s">
        <v>182</v>
      </c>
      <c r="D70" s="31" t="s">
        <v>183</v>
      </c>
      <c r="E70" s="31" t="s">
        <v>184</v>
      </c>
      <c r="F70" s="31" t="s">
        <v>185</v>
      </c>
    </row>
  </sheetData>
  <mergeCells count="1">
    <mergeCell ref="A2:F2"/>
  </mergeCells>
  <pageMargins left="0.7" right="0.7" top="0.75" bottom="0.75" header="0.3" footer="0.3"/>
  <pageSetup paperSize="9" scale="83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사전 체크리스트</vt:lpstr>
      <vt:lpstr>기능 리스트</vt:lpstr>
      <vt:lpstr>'사전 체크리스트'!Print_Titles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 DONG KIM</cp:lastModifiedBy>
  <cp:revision>0</cp:revision>
  <cp:lastPrinted>2026-08-07T00:54:53Z</cp:lastPrinted>
  <dcterms:created xsi:type="dcterms:W3CDTF">2026-07-28T09:08:34Z</dcterms:created>
  <dcterms:modified xsi:type="dcterms:W3CDTF">2026-10-24T11:39:09Z</dcterms:modified>
  <dc:language>en-US</dc:language>
</cp:coreProperties>
</file>